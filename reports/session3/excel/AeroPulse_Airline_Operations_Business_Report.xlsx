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20e6caf5042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6749b2ddba0c4733"/>
    <x:sheet xmlns:r="http://schemas.openxmlformats.org/officeDocument/2006/relationships" name="Airlines" sheetId="2" r:id="R611eab45d43041ad"/>
    <x:sheet xmlns:r="http://schemas.openxmlformats.org/officeDocument/2006/relationships" name="Airports" sheetId="3" r:id="R4e46cff9aee5426d"/>
    <x:sheet xmlns:r="http://schemas.openxmlformats.org/officeDocument/2006/relationships" name="Routes" sheetId="4" r:id="R7b5344fb7e3c4a20"/>
    <x:sheet xmlns:r="http://schemas.openxmlformats.org/officeDocument/2006/relationships" name="Severity" sheetId="5" r:id="R908a6c054e2c478c"/>
    <x:sheet xmlns:r="http://schemas.openxmlformats.org/officeDocument/2006/relationships" name="Disruptions" sheetId="6" r:id="R401832a539c34038"/>
    <x:sheet xmlns:r="http://schemas.openxmlformats.org/officeDocument/2006/relationships" name="Monthly source" sheetId="7" r:id="R2db0db5be9f443fe"/>
    <x:sheet xmlns:r="http://schemas.openxmlformats.org/officeDocument/2006/relationships" name="Methodology" sheetId="8" r:id="R95850ae8e289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"/>
  </x:numFmts>
  <x:fonts count="6">
    <x:font>
      <x:sz val="11"/>
      <x:name val="Carlito"/>
    </x:font>
    <x:font>
      <x:sz val="11"/>
      <x:color rgb="FF223448"/>
      <x:name val="Arial"/>
    </x:font>
    <x:font>
      <x:b/>
      <x:sz val="17"/>
      <x:color rgb="FF153451"/>
      <x:name val="Arial"/>
    </x:font>
    <x:font>
      <x:i/>
      <x:sz val="10"/>
      <x:color rgb="FF52687A"/>
      <x:name val="Arial"/>
    </x:font>
    <x:font>
      <x:b/>
      <x:sz val="11"/>
      <x:color rgb="FFFFFFFF"/>
      <x:name val="Arial"/>
    </x:font>
    <x:font>
      <x:b/>
      <x:sz val="11"/>
      <x:color rgb="FF15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FF1B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eced42a6941df" /><Relationship Type="http://schemas.openxmlformats.org/officeDocument/2006/relationships/theme" Target="/xl/theme/theme1.xml" Id="Rf15a82ac4ea245b6" /><Relationship Type="http://schemas.openxmlformats.org/officeDocument/2006/relationships/sharedStrings" Target="/xl/sharedStrings.xml" Id="R58cd0b91ce4a4296" /><Relationship Type="http://schemas.openxmlformats.org/officeDocument/2006/relationships/worksheet" Target="/xl/worksheets/sheet1.xml" Id="R6749b2ddba0c4733" /><Relationship Type="http://schemas.openxmlformats.org/officeDocument/2006/relationships/worksheet" Target="/xl/worksheets/sheet2.xml" Id="R611eab45d43041ad" /><Relationship Type="http://schemas.openxmlformats.org/officeDocument/2006/relationships/worksheet" Target="/xl/worksheets/sheet3.xml" Id="R4e46cff9aee5426d" /><Relationship Type="http://schemas.openxmlformats.org/officeDocument/2006/relationships/worksheet" Target="/xl/worksheets/sheet4.xml" Id="R7b5344fb7e3c4a20" /><Relationship Type="http://schemas.openxmlformats.org/officeDocument/2006/relationships/worksheet" Target="/xl/worksheets/sheet5.xml" Id="R908a6c054e2c478c" /><Relationship Type="http://schemas.openxmlformats.org/officeDocument/2006/relationships/worksheet" Target="/xl/worksheets/sheet6.xml" Id="R401832a539c34038" /><Relationship Type="http://schemas.openxmlformats.org/officeDocument/2006/relationships/worksheet" Target="/xl/worksheets/sheet7.xml" Id="R2db0db5be9f443fe" /><Relationship Type="http://schemas.openxmlformats.org/officeDocument/2006/relationships/worksheet" Target="/xl/worksheets/sheet8.xml" Id="R95850ae8e2894d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53c2d3d7494f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889d778432e486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bb02b0728054fc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48bf7982636418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b8556f1dcef49b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bcba3ff3bf854963" /><Relationship Type="http://schemas.openxmlformats.org/officeDocument/2006/relationships/chart" Target="/xl/drawings/charts/chart7.xml" Id="R8593def9b6ab4e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Selected carrier: Q1 monthly on-time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On-time rate</c:v>
          </c:tx>
          <c:spPr>
            <a:solidFill xmlns:a="http://schemas.openxmlformats.org/drawingml/2006/main">
              <a:srgbClr val="087E8B"/>
            </a:solidFill>
            <a:ln xmlns:a="http://schemas.openxmlformats.org/drawingml/2006/main" w="19050">
              <a:solidFill>
                <a:srgbClr val="087E8B"/>
              </a:solidFill>
              <a:prstDash val="solid"/>
            </a:ln>
          </c:spPr>
          <c:marker>
            <c:symbol val="none"/>
          </c:marker>
          <c:cat>
            <c:strRef>
              <c:f>'Executive'!$D$10:$D$12</c:f>
              <c:strCache>
                <c:ptCount val="0"/>
              </c:strCache>
            </c:strRef>
          </c:cat>
          <c:val>
            <c:numRef>
              <c:f>'Executive'!$E$10:$E$12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Late arrivals by carrier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'Airlines'!$A$6:$A$19</c:f>
              <c:strCache>
                <c:ptCount val="0"/>
              </c:strCache>
            </c:strRef>
          </c:cat>
          <c:val>
            <c:numRef>
              <c:f>'Airlines'!$D$6:$D$19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Top 10 late-flight contributions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'Airports'!$A$6:$A$15</c:f>
              <c:strCache>
                <c:ptCount val="0"/>
              </c:strCache>
            </c:strRef>
          </c:cat>
          <c:val>
            <c:numRef>
              <c:f>'Airports'!$D$6:$D$15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Top 10 late-flight contributions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'Routes'!$A$6:$A$15</c:f>
              <c:strCache>
                <c:ptCount val="0"/>
              </c:strCache>
            </c:strRef>
          </c:cat>
          <c:val>
            <c:numRef>
              <c:f>'Routes'!$D$6:$D$15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Flights by severity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'Severity'!$A$6:$A$10</c:f>
              <c:strCache>
                <c:ptCount val="0"/>
              </c:strCache>
            </c:strRef>
          </c:cat>
          <c:val>
            <c:numRef>
              <c:f>'Severity'!$B$6:$B$10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Cancellation reasons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Cancelled flights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'Disruptions'!$A$6:$A$10</c:f>
              <c:strCache>
                <c:ptCount val="0"/>
              </c:strCache>
            </c:strRef>
          </c:cat>
          <c:val>
            <c:numRef>
              <c:f>'Disruptions'!$B$6:$B$10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Reported delay minutes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Reported minutes</c:v>
          </c:tx>
          <c:spPr>
            <a:solidFill xmlns:a="http://schemas.openxmlformats.org/drawingml/2006/main">
              <a:srgbClr val="087E8B"/>
            </a:solidFill>
          </c:spPr>
          <c:invertIfNegative val="0"/>
          <c:cat>
            <c:strRef>
              <c:f>'Disruptions'!$A$16:$A$20</c:f>
              <c:strCache>
                <c:ptCount val="0"/>
              </c:strCache>
            </c:strRef>
          </c:cat>
          <c:val>
            <c:numRef>
              <c:f>'Disruptions'!$B$16:$B$20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53c2d3d7494fb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89d778432e486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b02b0728054fc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8bf7982636418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556f1dcef49b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a3ff3bf85496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93def9b6ab4e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irlineResults" displayName="AirlineResults" ref="A5:G19" headerRowCount="1" totalsRowCount="0" totalsRowShown="0">
  <x:tableColumns count="7">
    <x:tableColumn id="1" name="Carrier"/>
    <x:tableColumn id="2" name="Reported"/>
    <x:tableColumn id="3" name="Eligible"/>
    <x:tableColumn id="4" name="Late"/>
    <x:tableColumn id="5" name="Cancelled"/>
    <x:tableColumn id="6" name="On-time rate"/>
    <x:tableColumn id="7" name="Cancel 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irportsResults" displayName="AirportsResults" ref="A5:G25" headerRowCount="1" totalsRowCount="0" totalsRowShown="0">
  <x:tableColumns count="7">
    <x:tableColumn id="1" name="Destination"/>
    <x:tableColumn id="2" name="Reported"/>
    <x:tableColumn id="3" name="Eligible"/>
    <x:tableColumn id="4" name="Late"/>
    <x:tableColumn id="5" name="Cancelled"/>
    <x:tableColumn id="6" name="Late rate"/>
    <x:tableColumn id="7" name="Network late 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outesResults" displayName="RoutesResults" ref="A5:G25" headerRowCount="1" totalsRowCount="0" totalsRowShown="0">
  <x:tableColumns count="7">
    <x:tableColumn id="1" name="Directed route"/>
    <x:tableColumn id="2" name="Reported"/>
    <x:tableColumn id="3" name="Eligible"/>
    <x:tableColumn id="4" name="Late"/>
    <x:tableColumn id="5" name="Cancelled"/>
    <x:tableColumn id="6" name="Late rate"/>
    <x:tableColumn id="7" name="Network late sha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verityResults" displayName="SeverityResults" ref="A5:F10" headerRowCount="1" totalsRowCount="0" totalsRowShown="0">
  <x:tableColumns count="6">
    <x:tableColumn id="1" name="Arrival delay"/>
    <x:tableColumn id="2" name="Flights"/>
    <x:tableColumn id="3" name="Signed minutes"/>
    <x:tableColumn id="4" name="Eligible share"/>
    <x:tableColumn id="5" name="Late-flight share"/>
    <x:tableColumn id="6" name="Late-minute 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ancellationReasons" displayName="CancellationReasons" ref="A5:C10" headerRowCount="1" totalsRowCount="0" totalsRowShown="0">
  <x:tableColumns count="3">
    <x:tableColumn id="1" name="Cancellation reason"/>
    <x:tableColumn id="2" name="Cancelled flights"/>
    <x:tableColumn id="3" name="Reason sha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ReportedCauses" displayName="ReportedCauses" ref="A15:F20" headerRowCount="1" totalsRowCount="0" totalsRowShown="0">
  <x:tableColumns count="6">
    <x:tableColumn id="1" name="Reported cause"/>
    <x:tableColumn id="2" name="Reported minutes"/>
    <x:tableColumn id="3" name="Late rows reported"/>
    <x:tableColumn id="4" name="Late arrivals"/>
    <x:tableColumn id="5" name="Coverage"/>
    <x:tableColumn id="6" name="Minute sha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MonthlyInputs" displayName="MonthlyInputs" ref="A5:J47" headerRowCount="1" totalsRowCount="0" totalsRowShown="0">
  <x:tableColumns count="10">
    <x:tableColumn id="1" name="Month"/>
    <x:tableColumn id="2" name="Carrier"/>
    <x:tableColumn id="3" name="Reported"/>
    <x:tableColumn id="4" name="Eligible"/>
    <x:tableColumn id="5" name="On time"/>
    <x:tableColumn id="6" name="Late"/>
    <x:tableColumn id="7" name="Cancelled"/>
    <x:tableColumn id="8" name="Diverted"/>
    <x:tableColumn id="9" name="Signed delay min"/>
    <x:tableColumn id="10" name="Late delay 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b95b75c7c846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b6134fc4d014661" /><Relationship Type="http://schemas.openxmlformats.org/officeDocument/2006/relationships/table" Target="/xl/tables/table1.xml" Id="Rd0700f1ec83943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bf13ca6918a435b" /><Relationship Type="http://schemas.openxmlformats.org/officeDocument/2006/relationships/table" Target="/xl/tables/table2.xml" Id="R93976888be214c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11355570a1e457c" /><Relationship Type="http://schemas.openxmlformats.org/officeDocument/2006/relationships/table" Target="/xl/tables/table3.xml" Id="Rfd531547f2614f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0297027838c34d57" /><Relationship Type="http://schemas.openxmlformats.org/officeDocument/2006/relationships/table" Target="/xl/tables/table4.xml" Id="R1278e446e5474f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6f05d1319daa4e3b" /><Relationship Type="http://schemas.openxmlformats.org/officeDocument/2006/relationships/table" Target="/xl/tables/table5.xml" Id="R6bcd55be976642af" /><Relationship Type="http://schemas.openxmlformats.org/officeDocument/2006/relationships/table" Target="/xl/tables/table6.xml" Id="R34aeb231eb274a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765b7d9c37a479c" /></Relationships>
</file>

<file path=xl/worksheets/sheet1.xml><?xml version="1.0" encoding="utf-8"?>
<x:worksheet xmlns:x="http://schemas.openxmlformats.org/spreadsheetml/2006/main">
  <x:sheetPr>
    <x:tabColor rgb="FF153451"/>
  </x:sheetPr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AeroPulse airline operations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January–March 2025. Select a carrier and month for this sheet only.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 t="str">
        <x:v>Carrier</x:v>
      </x:c>
      <x:c r="B5" s="10" t="str">
        <x:v>All</x:v>
      </x:c>
      <x:c r="C5" s="2"/>
      <x:c r="D5" s="2" t="str">
        <x:v>Amber cells are editable. Other sheets show fixed Q1 results.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Month</x:v>
      </x:c>
      <x:c r="B6" s="10" t="str">
        <x:v>All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38" customHeight="1">
      <x:c r="A8" s="8" t="str">
        <x:v>Metric</x:v>
      </x:c>
      <x:c r="B8" s="8" t="str">
        <x:v>Selected value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Reported flights</x:v>
      </x:c>
      <x:c r="B9" s="9" t="n">
        <x:f>SUMIFS('Monthly source'!$C$6:$C$47,'Monthly source'!$B$6:$B$47,IF($B$5="All","*",$B$5),'Monthly source'!$A$6:$A$47,IF($B$6="All","*",$B$6))</x:f>
        <x:v>1645503</x:v>
      </x:c>
      <x:c r="C9" s="2"/>
      <x:c r="D9" s="2" t="str">
        <x:v>Month</x:v>
      </x:c>
      <x:c r="E9" s="2" t="str">
        <x:v>On-time rate</x:v>
      </x:c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2" t="str">
        <x:v>Eligible arrivals</x:v>
      </x:c>
      <x:c r="B10" s="9" t="n">
        <x:f>SUMIFS('Monthly source'!$D$6:$D$47,'Monthly source'!$B$6:$B$47,IF($B$5="All","*",$B$5),'Monthly source'!$A$6:$A$47,IF($B$6="All","*",$B$6))</x:f>
        <x:v>1611046</x:v>
      </x:c>
      <x:c r="C10" s="2"/>
      <x:c r="D10" s="2" t="str">
        <x:v>Jan 2025</x:v>
      </x:c>
      <x:c r="E10" s="11" t="n">
        <x:f>IF(SUMIFS('Monthly source'!$D$6:$D$47,'Monthly source'!$B$6:$B$47,IF($B$5="All","*",$B$5),'Monthly source'!$A$6:$A$47,"2025-01")=0,"n.a.",SUMIFS('Monthly source'!$E$6:$E$47,'Monthly source'!$B$6:$B$47,IF($B$5="All","*",$B$5),'Monthly source'!$A$6:$A$47,"2025-01")/SUMIFS('Monthly source'!$D$6:$D$47,'Monthly source'!$B$6:$B$47,IF($B$5="All","*",$B$5),'Monthly source'!$A$6:$A$47,"2025-01"))</x:f>
        <x:v>0.8121083196590263</x:v>
      </x:c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 t="str">
        <x:v>On-time arrivals</x:v>
      </x:c>
      <x:c r="B11" s="9" t="n">
        <x:f>SUMIFS('Monthly source'!$E$6:$E$47,'Monthly source'!$B$6:$B$47,IF($B$5="All","*",$B$5),'Monthly source'!$A$6:$A$47,IF($B$6="All","*",$B$6))</x:f>
        <x:v>1293780</x:v>
      </x:c>
      <x:c r="C11" s="2"/>
      <x:c r="D11" s="2" t="str">
        <x:v>Feb 2025</x:v>
      </x:c>
      <x:c r="E11" s="11" t="n">
        <x:f>IF(SUMIFS('Monthly source'!$D$6:$D$47,'Monthly source'!$B$6:$B$47,IF($B$5="All","*",$B$5),'Monthly source'!$A$6:$A$47,"2025-02")=0,"n.a.",SUMIFS('Monthly source'!$E$6:$E$47,'Monthly source'!$B$6:$B$47,IF($B$5="All","*",$B$5),'Monthly source'!$A$6:$A$47,"2025-02")/SUMIFS('Monthly source'!$D$6:$D$47,'Monthly source'!$B$6:$B$47,IF($B$5="All","*",$B$5),'Monthly source'!$A$6:$A$47,"2025-02"))</x:f>
        <x:v>0.7923323584624433</x:v>
      </x:c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 t="str">
        <x:v>Late arrivals</x:v>
      </x:c>
      <x:c r="B12" s="9" t="n">
        <x:f>SUMIFS('Monthly source'!$F$6:$F$47,'Monthly source'!$B$6:$B$47,IF($B$5="All","*",$B$5),'Monthly source'!$A$6:$A$47,IF($B$6="All","*",$B$6))</x:f>
        <x:v>317266</x:v>
      </x:c>
      <x:c r="C12" s="2"/>
      <x:c r="D12" s="2" t="str">
        <x:v>Mar 2025</x:v>
      </x:c>
      <x:c r="E12" s="11" t="n">
        <x:f>IF(SUMIFS('Monthly source'!$D$6:$D$47,'Monthly source'!$B$6:$B$47,IF($B$5="All","*",$B$5),'Monthly source'!$A$6:$A$47,"2025-03")=0,"n.a.",SUMIFS('Monthly source'!$E$6:$E$47,'Monthly source'!$B$6:$B$47,IF($B$5="All","*",$B$5),'Monthly source'!$A$6:$A$47,"2025-03")/SUMIFS('Monthly source'!$D$6:$D$47,'Monthly source'!$B$6:$B$47,IF($B$5="All","*",$B$5),'Monthly source'!$A$6:$A$47,"2025-03"))</x:f>
        <x:v>0.8040962281002396</x:v>
      </x:c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 t="str">
        <x:v>Cancellations</x:v>
      </x:c>
      <x:c r="B13" s="9" t="n">
        <x:f>SUMIFS('Monthly source'!$G$6:$G$47,'Monthly source'!$B$6:$B$47,IF($B$5="All","*",$B$5),'Monthly source'!$A$6:$A$47,IF($B$6="All","*",$B$6))</x:f>
        <x:v>30640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 t="str">
        <x:v>Diversions</x:v>
      </x:c>
      <x:c r="B14" s="9" t="n">
        <x:f>SUMIFS('Monthly source'!$H$6:$H$47,'Monthly source'!$B$6:$B$47,IF($B$5="All","*",$B$5),'Monthly source'!$A$6:$A$47,IF($B$6="All","*",$B$6))</x:f>
        <x:v>3817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 t="str">
        <x:v>Signed delay minutes</x:v>
      </x:c>
      <x:c r="B15" s="9" t="n">
        <x:f>SUMIFS('Monthly source'!$I$6:$I$47,'Monthly source'!$B$6:$B$47,IF($B$5="All","*",$B$5),'Monthly source'!$A$6:$A$47,IF($B$6="All","*",$B$6))</x:f>
        <x:v>8030228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4" customHeight="1">
      <x:c r="A16" s="2" t="str">
        <x:v>Late delay minutes</x:v>
      </x:c>
      <x:c r="B16" s="9" t="n">
        <x:f>SUMIFS('Monthly source'!$J$6:$J$47,'Monthly source'!$B$6:$B$47,IF($B$5="All","*",$B$5),'Monthly source'!$A$6:$A$47,IF($B$6="All","*",$B$6))</x:f>
        <x:v>22733373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 t="str">
        <x:v>On-time arrival rate</x:v>
      </x:c>
      <x:c r="B18" s="11" t="n">
        <x:f>IF(B10=0,"n.a.",(B11)/(B10))</x:f>
        <x:v>0.803068317105781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 t="str">
        <x:v>Late arrival rate</x:v>
      </x:c>
      <x:c r="B19" s="11" t="n">
        <x:f>IF(B10=0,"n.a.",(B12)/(B10))</x:f>
        <x:v>0.19693168289421903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 t="str">
        <x:v>Cancellation rate</x:v>
      </x:c>
      <x:c r="B20" s="11" t="n">
        <x:f>IF(B9=0,"n.a.",(B13)/(B9))</x:f>
        <x:v>0.018620446149292952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 t="str">
        <x:v>Diversion rate</x:v>
      </x:c>
      <x:c r="B21" s="11" t="n">
        <x:f>IF(B9=0,"n.a.",(B14)/(B9))</x:f>
        <x:v>0.0023196554488202088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 t="str">
        <x:v>Mean arrival delay (min)</x:v>
      </x:c>
      <x:c r="B23" s="12" t="n">
        <x:f>IF(B10=0,"n.a.",B15/B10)</x:f>
        <x:v>4.984480890055281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13" t="str">
        <x:v>Operational priorities for Q1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 t="str">
        <x:v>1. Review DFW recovery capacity: it contributes the most late arrivals (15,484).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 t="str">
        <x:v>2. Investigate long delays: the 120+ minute band is 14.4% of late flights but 47.8% of late minutes.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 t="str">
        <x:v>3. Examine carrier and late-aircraft allocations before interventions; reported causes are not causal proof.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 t="str">
        <x:v>4. Review weather cancellation contingencies with station teams. Use exposure-matched rates and volumes.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 t="str">
        <x:v>Rates use matching totals. Eligible: noncancelled, nondiverted, known arrival delay. On time: delay &lt;15 min.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</x:sheetData>
  <x:dataValidations count="2">
    <x:dataValidation type="list" sqref="B5">
      <x:formula1>"All,AA,AS,B6,DL,F9,G4,HA,MQ,NK,OH,OO,UA,WN,YX"</x:formula1>
    </x:dataValidation>
    <x:dataValidation type="list" sqref="B6">
      <x:formula1>"All,2025-01,2025-02,2025-03"</x:formula1>
    </x:dataValidation>
  </x:dataValidations>
  <x:pageMargins left="0.7" right="0.7" top="0.75" bottom="0.75" header="0.3" footer="0.3"/>
  <x:drawing xmlns:r="http://schemas.openxmlformats.org/officeDocument/2006/relationships" r:id="R39b95b75c7c84693"/>
</x:worksheet>
</file>

<file path=xl/worksheets/sheet2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Airline performance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Fixed Q1 2025. Raw operating rates reflect different route and schedule mixes.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8" t="str">
        <x:v>Carrier</x:v>
      </x:c>
      <x:c r="B5" s="8" t="str">
        <x:v>Reported</x:v>
      </x:c>
      <x:c r="C5" s="8" t="str">
        <x:v>Eligible</x:v>
      </x:c>
      <x:c r="D5" s="8" t="str">
        <x:v>Late</x:v>
      </x:c>
      <x:c r="E5" s="8" t="str">
        <x:v>Cancelled</x:v>
      </x:c>
      <x:c r="F5" s="8" t="str">
        <x:v>On-time rate</x:v>
      </x:c>
      <x:c r="G5" s="8" t="str">
        <x:v>Cancel rate</x:v>
      </x:c>
      <x:c r="H5" s="2"/>
      <x:c r="I5" s="2"/>
      <x:c r="J5" s="2"/>
      <x:c r="K5" s="2"/>
      <x:c r="L5" s="2"/>
      <x:c r="M5" s="2"/>
    </x:row>
    <x:row r="6" ht="24" customHeight="1">
      <x:c r="A6" s="2" t="str">
        <x:v>WN</x:v>
      </x:c>
      <x:c r="B6" s="9" t="n">
        <x:v>327938</x:v>
      </x:c>
      <x:c r="C6" s="9" t="n">
        <x:v>322744</x:v>
      </x:c>
      <x:c r="D6" s="9" t="n">
        <x:v>53215</x:v>
      </x:c>
      <x:c r="E6" s="9" t="n">
        <x:v>4595</x:v>
      </x:c>
      <x:c r="F6" s="11" t="n">
        <x:f>IF(C6=0,"n.a.",(C6-D6)/(C6))</x:f>
        <x:v>0.8351169967528443</x:v>
      </x:c>
      <x:c r="G6" s="11" t="n">
        <x:f>IF(B6=0,"n.a.",(E6)/(B6))</x:f>
        <x:v>0.014011794912452963</x:v>
      </x:c>
      <x:c r="H6" s="2"/>
      <x:c r="I6" s="2"/>
      <x:c r="J6" s="2"/>
      <x:c r="K6" s="2"/>
      <x:c r="L6" s="2"/>
      <x:c r="M6" s="2"/>
    </x:row>
    <x:row r="7" ht="24" customHeight="1">
      <x:c r="A7" s="2" t="str">
        <x:v>AA</x:v>
      </x:c>
      <x:c r="B7" s="9" t="n">
        <x:v>227500</x:v>
      </x:c>
      <x:c r="C7" s="9" t="n">
        <x:v>221933</x:v>
      </x:c>
      <x:c r="D7" s="9" t="n">
        <x:v>46738</x:v>
      </x:c>
      <x:c r="E7" s="9" t="n">
        <x:v>4982</x:v>
      </x:c>
      <x:c r="F7" s="11" t="n">
        <x:f>IF(C7=0,"n.a.",(C7-D7)/(C7))</x:f>
        <x:v>0.789404910491004</x:v>
      </x:c>
      <x:c r="G7" s="11" t="n">
        <x:f>IF(B7=0,"n.a.",(E7)/(B7))</x:f>
        <x:v>0.021898901098901098</x:v>
      </x:c>
      <x:c r="H7" s="2"/>
      <x:c r="I7" s="2"/>
      <x:c r="J7" s="2"/>
      <x:c r="K7" s="2"/>
      <x:c r="L7" s="2"/>
      <x:c r="M7" s="2"/>
    </x:row>
    <x:row r="8" ht="24" customHeight="1">
      <x:c r="A8" s="2" t="str">
        <x:v>DL</x:v>
      </x:c>
      <x:c r="B8" s="9" t="n">
        <x:v>232126</x:v>
      </x:c>
      <x:c r="C8" s="9" t="n">
        <x:v>228943</x:v>
      </x:c>
      <x:c r="D8" s="9" t="n">
        <x:v>43940</x:v>
      </x:c>
      <x:c r="E8" s="9" t="n">
        <x:v>2717</x:v>
      </x:c>
      <x:c r="F8" s="11" t="n">
        <x:f>IF(C8=0,"n.a.",(C8-D8)/(C8))</x:f>
        <x:v>0.8080744988927375</x:v>
      </x:c>
      <x:c r="G8" s="11" t="n">
        <x:f>IF(B8=0,"n.a.",(E8)/(B8))</x:f>
        <x:v>0.011704849952181143</x:v>
      </x:c>
      <x:c r="H8" s="2"/>
      <x:c r="I8" s="2"/>
      <x:c r="J8" s="2"/>
      <x:c r="K8" s="2"/>
      <x:c r="L8" s="2"/>
      <x:c r="M8" s="2"/>
    </x:row>
    <x:row r="9" ht="24" customHeight="1">
      <x:c r="A9" s="2" t="str">
        <x:v>OO</x:v>
      </x:c>
      <x:c r="B9" s="9" t="n">
        <x:v>195359</x:v>
      </x:c>
      <x:c r="C9" s="9" t="n">
        <x:v>191241</x:v>
      </x:c>
      <x:c r="D9" s="9" t="n">
        <x:v>40854</x:v>
      </x:c>
      <x:c r="E9" s="9" t="n">
        <x:v>3473</x:v>
      </x:c>
      <x:c r="F9" s="11" t="n">
        <x:f>IF(C9=0,"n.a.",(C9-D9)/(C9))</x:f>
        <x:v>0.7863742607495254</x:v>
      </x:c>
      <x:c r="G9" s="11" t="n">
        <x:f>IF(B9=0,"n.a.",(E9)/(B9))</x:f>
        <x:v>0.01777752752624655</x:v>
      </x:c>
      <x:c r="H9" s="2"/>
      <x:c r="I9" s="2"/>
      <x:c r="J9" s="2"/>
      <x:c r="K9" s="2"/>
      <x:c r="L9" s="2"/>
      <x:c r="M9" s="2"/>
    </x:row>
    <x:row r="10" ht="24" customHeight="1">
      <x:c r="A10" s="2" t="str">
        <x:v>UA</x:v>
      </x:c>
      <x:c r="B10" s="9" t="n">
        <x:v>186629</x:v>
      </x:c>
      <x:c r="C10" s="9" t="n">
        <x:v>184634</x:v>
      </x:c>
      <x:c r="D10" s="9" t="n">
        <x:v>32997</x:v>
      </x:c>
      <x:c r="E10" s="9" t="n">
        <x:v>1582</x:v>
      </x:c>
      <x:c r="F10" s="11" t="n">
        <x:f>IF(C10=0,"n.a.",(C10-D10)/(C10))</x:f>
        <x:v>0.8212842705027243</x:v>
      </x:c>
      <x:c r="G10" s="11" t="n">
        <x:f>IF(B10=0,"n.a.",(E10)/(B10))</x:f>
        <x:v>0.008476710479078815</x:v>
      </x:c>
      <x:c r="H10" s="2"/>
      <x:c r="I10" s="2"/>
      <x:c r="J10" s="2"/>
      <x:c r="K10" s="2"/>
      <x:c r="L10" s="2"/>
      <x:c r="M10" s="2"/>
    </x:row>
    <x:row r="11" ht="24" customHeight="1">
      <x:c r="A11" s="2" t="str">
        <x:v>OH</x:v>
      </x:c>
      <x:c r="B11" s="9" t="n">
        <x:v>62583</x:v>
      </x:c>
      <x:c r="C11" s="9" t="n">
        <x:v>57658</x:v>
      </x:c>
      <x:c r="D11" s="9" t="n">
        <x:v>16542</x:v>
      </x:c>
      <x:c r="E11" s="9" t="n">
        <x:v>4757</x:v>
      </x:c>
      <x:c r="F11" s="11" t="n">
        <x:f>IF(C11=0,"n.a.",(C11-D11)/(C11))</x:f>
        <x:v>0.7131013909604912</x:v>
      </x:c>
      <x:c r="G11" s="11" t="n">
        <x:f>IF(B11=0,"n.a.",(E11)/(B11))</x:f>
        <x:v>0.0760110573158845</x:v>
      </x:c>
      <x:c r="H11" s="2"/>
      <x:c r="I11" s="2"/>
      <x:c r="J11" s="2"/>
      <x:c r="K11" s="2"/>
      <x:c r="L11" s="2"/>
      <x:c r="M11" s="2"/>
    </x:row>
    <x:row r="12" ht="24" customHeight="1">
      <x:c r="A12" s="2" t="str">
        <x:v>B6</x:v>
      </x:c>
      <x:c r="B12" s="9" t="n">
        <x:v>56907</x:v>
      </x:c>
      <x:c r="C12" s="9" t="n">
        <x:v>55772</x:v>
      </x:c>
      <x:c r="D12" s="9" t="n">
        <x:v>13988</x:v>
      </x:c>
      <x:c r="E12" s="9" t="n">
        <x:v>946</x:v>
      </x:c>
      <x:c r="F12" s="11" t="n">
        <x:f>IF(C12=0,"n.a.",(C12-D12)/(C12))</x:f>
        <x:v>0.7491931435128738</x:v>
      </x:c>
      <x:c r="G12" s="11" t="n">
        <x:f>IF(B12=0,"n.a.",(E12)/(B12))</x:f>
        <x:v>0.016623613966647337</x:v>
      </x:c>
      <x:c r="H12" s="2"/>
      <x:c r="I12" s="2"/>
      <x:c r="J12" s="2"/>
      <x:c r="K12" s="2"/>
      <x:c r="L12" s="2"/>
      <x:c r="M12" s="2"/>
    </x:row>
    <x:row r="13" ht="24" customHeight="1">
      <x:c r="A13" s="2" t="str">
        <x:v>YX</x:v>
      </x:c>
      <x:c r="B13" s="9" t="n">
        <x:v>82140</x:v>
      </x:c>
      <x:c r="C13" s="9" t="n">
        <x:v>79637</x:v>
      </x:c>
      <x:c r="D13" s="9" t="n">
        <x:v>13951</x:v>
      </x:c>
      <x:c r="E13" s="9" t="n">
        <x:v>2348</x:v>
      </x:c>
      <x:c r="F13" s="11" t="n">
        <x:f>IF(C13=0,"n.a.",(C13-D13)/(C13))</x:f>
        <x:v>0.8248176099049437</x:v>
      </x:c>
      <x:c r="G13" s="11" t="n">
        <x:f>IF(B13=0,"n.a.",(E13)/(B13))</x:f>
        <x:v>0.02858534209885561</x:v>
      </x:c>
      <x:c r="H13" s="2"/>
      <x:c r="I13" s="2"/>
      <x:c r="J13" s="2"/>
      <x:c r="K13" s="2"/>
      <x:c r="L13" s="2"/>
      <x:c r="M13" s="2"/>
    </x:row>
    <x:row r="14" ht="24" customHeight="1">
      <x:c r="A14" s="2" t="str">
        <x:v>F9</x:v>
      </x:c>
      <x:c r="B14" s="9" t="n">
        <x:v>49812</x:v>
      </x:c>
      <x:c r="C14" s="9" t="n">
        <x:v>48752</x:v>
      </x:c>
      <x:c r="D14" s="9" t="n">
        <x:v>12391</x:v>
      </x:c>
      <x:c r="E14" s="9" t="n">
        <x:v>964</x:v>
      </x:c>
      <x:c r="F14" s="11" t="n">
        <x:f>IF(C14=0,"n.a.",(C14-D14)/(C14))</x:f>
        <x:v>0.7458360682638661</x:v>
      </x:c>
      <x:c r="G14" s="11" t="n">
        <x:f>IF(B14=0,"n.a.",(E14)/(B14))</x:f>
        <x:v>0.01935276640167028</x:v>
      </x:c>
      <x:c r="H14" s="2"/>
      <x:c r="I14" s="2"/>
      <x:c r="J14" s="2"/>
      <x:c r="K14" s="2"/>
      <x:c r="L14" s="2"/>
      <x:c r="M14" s="2"/>
    </x:row>
    <x:row r="15" ht="24" customHeight="1">
      <x:c r="A15" s="2" t="str">
        <x:v>MQ</x:v>
      </x:c>
      <x:c r="B15" s="9" t="n">
        <x:v>65917</x:v>
      </x:c>
      <x:c r="C15" s="9" t="n">
        <x:v>63734</x:v>
      </x:c>
      <x:c r="D15" s="9" t="n">
        <x:v>12325</x:v>
      </x:c>
      <x:c r="E15" s="9" t="n">
        <x:v>2038</x:v>
      </x:c>
      <x:c r="F15" s="11" t="n">
        <x:f>IF(C15=0,"n.a.",(C15-D15)/(C15))</x:f>
        <x:v>0.806618131609502</x:v>
      </x:c>
      <x:c r="G15" s="11" t="n">
        <x:f>IF(B15=0,"n.a.",(E15)/(B15))</x:f>
        <x:v>0.030917669190042022</x:v>
      </x:c>
      <x:c r="H15" s="2"/>
      <x:c r="I15" s="2"/>
      <x:c r="J15" s="2"/>
      <x:c r="K15" s="2"/>
      <x:c r="L15" s="2"/>
      <x:c r="M15" s="2"/>
    </x:row>
    <x:row r="16" ht="24" customHeight="1">
      <x:c r="A16" s="2" t="str">
        <x:v>AS</x:v>
      </x:c>
      <x:c r="B16" s="9" t="n">
        <x:v>53403</x:v>
      </x:c>
      <x:c r="C16" s="9" t="n">
        <x:v>52520</x:v>
      </x:c>
      <x:c r="D16" s="9" t="n">
        <x:v>10052</x:v>
      </x:c>
      <x:c r="E16" s="9" t="n">
        <x:v>718</x:v>
      </x:c>
      <x:c r="F16" s="11" t="n">
        <x:f>IF(C16=0,"n.a.",(C16-D16)/(C16))</x:f>
        <x:v>0.8086062452399086</x:v>
      </x:c>
      <x:c r="G16" s="11" t="n">
        <x:f>IF(B16=0,"n.a.",(E16)/(B16))</x:f>
        <x:v>0.013444937550324889</x:v>
      </x:c>
      <x:c r="H16" s="2"/>
      <x:c r="I16" s="2"/>
      <x:c r="J16" s="2"/>
      <x:c r="K16" s="2"/>
      <x:c r="L16" s="2"/>
      <x:c r="M16" s="2"/>
    </x:row>
    <x:row r="17" ht="24" customHeight="1">
      <x:c r="A17" s="2" t="str">
        <x:v>NK</x:v>
      </x:c>
      <x:c r="B17" s="9" t="n">
        <x:v>53604</x:v>
      </x:c>
      <x:c r="C17" s="9" t="n">
        <x:v>52564</x:v>
      </x:c>
      <x:c r="D17" s="9" t="n">
        <x:v>9749</x:v>
      </x:c>
      <x:c r="E17" s="9" t="n">
        <x:v>966</x:v>
      </x:c>
      <x:c r="F17" s="11" t="n">
        <x:f>IF(C17=0,"n.a.",(C17-D17)/(C17))</x:f>
        <x:v>0.8145308576211856</x:v>
      </x:c>
      <x:c r="G17" s="11" t="n">
        <x:f>IF(B17=0,"n.a.",(E17)/(B17))</x:f>
        <x:v>0.018021043205730915</x:v>
      </x:c>
      <x:c r="H17" s="2"/>
      <x:c r="I17" s="2"/>
      <x:c r="J17" s="2"/>
      <x:c r="K17" s="2"/>
      <x:c r="L17" s="2"/>
      <x:c r="M17" s="2"/>
    </x:row>
    <x:row r="18" ht="24" customHeight="1">
      <x:c r="A18" s="2" t="str">
        <x:v>G4</x:v>
      </x:c>
      <x:c r="B18" s="9" t="n">
        <x:v>32071</x:v>
      </x:c>
      <x:c r="C18" s="9" t="n">
        <x:v>31702</x:v>
      </x:c>
      <x:c r="D18" s="9" t="n">
        <x:v>7453</x:v>
      </x:c>
      <x:c r="E18" s="9" t="n">
        <x:v>286</x:v>
      </x:c>
      <x:c r="F18" s="11" t="n">
        <x:f>IF(C18=0,"n.a.",(C18-D18)/(C18))</x:f>
        <x:v>0.7649044224339159</x:v>
      </x:c>
      <x:c r="G18" s="11" t="n">
        <x:f>IF(B18=0,"n.a.",(E18)/(B18))</x:f>
        <x:v>0.008917713822456425</x:v>
      </x:c>
      <x:c r="H18" s="2"/>
      <x:c r="I18" s="2"/>
      <x:c r="J18" s="2"/>
      <x:c r="K18" s="2"/>
      <x:c r="L18" s="2"/>
      <x:c r="M18" s="2"/>
    </x:row>
    <x:row r="19" ht="24" customHeight="1">
      <x:c r="A19" s="2" t="str">
        <x:v>HA</x:v>
      </x:c>
      <x:c r="B19" s="9" t="n">
        <x:v>19514</x:v>
      </x:c>
      <x:c r="C19" s="9" t="n">
        <x:v>19212</x:v>
      </x:c>
      <x:c r="D19" s="9" t="n">
        <x:v>3071</x:v>
      </x:c>
      <x:c r="E19" s="9" t="n">
        <x:v>268</x:v>
      </x:c>
      <x:c r="F19" s="11" t="n">
        <x:f>IF(C19=0,"n.a.",(C19-D19)/(C19))</x:f>
        <x:v>0.8401519883406204</x:v>
      </x:c>
      <x:c r="G19" s="11" t="n">
        <x:f>IF(B19=0,"n.a.",(E19)/(B19))</x:f>
        <x:v>0.013733729630009224</x:v>
      </x:c>
      <x:c r="H19" s="2"/>
      <x:c r="I19" s="2"/>
      <x:c r="J19" s="2"/>
      <x:c r="K19" s="2"/>
      <x:c r="L19" s="2"/>
      <x:c r="M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</x:sheetData>
  <x:pageMargins left="0.7" right="0.7" top="0.75" bottom="0.75" header="0.3" footer="0.3"/>
  <x:drawing xmlns:r="http://schemas.openxmlformats.org/officeDocument/2006/relationships" r:id="R6b6134fc4d014661"/>
  <x:tableParts count="1">
    <x:tablePart xmlns:r="http://schemas.openxmlformats.org/officeDocument/2006/relationships" r:id="Rd0700f1ec8394352"/>
  </x:tableParts>
</x:worksheet>
</file>

<file path=xl/worksheets/sheet3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Airport delay concentration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Fixed Q1 2025. Top 20 by late-flight contribution; destination airports.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8" t="str">
        <x:v>Destination</x:v>
      </x:c>
      <x:c r="B5" s="8" t="str">
        <x:v>Reported</x:v>
      </x:c>
      <x:c r="C5" s="8" t="str">
        <x:v>Eligible</x:v>
      </x:c>
      <x:c r="D5" s="8" t="str">
        <x:v>Late</x:v>
      </x:c>
      <x:c r="E5" s="8" t="str">
        <x:v>Cancelled</x:v>
      </x:c>
      <x:c r="F5" s="8" t="str">
        <x:v>Late rate</x:v>
      </x:c>
      <x:c r="G5" s="8" t="str">
        <x:v>Network late share</x:v>
      </x:c>
      <x:c r="H5" s="2"/>
      <x:c r="I5" s="2"/>
      <x:c r="J5" s="2"/>
      <x:c r="K5" s="2"/>
      <x:c r="L5" s="2"/>
      <x:c r="M5" s="2"/>
      <x:c r="N5" s="2"/>
    </x:row>
    <x:row r="6" ht="24" customHeight="1">
      <x:c r="A6" s="2" t="str">
        <x:v>DFW</x:v>
      </x:c>
      <x:c r="B6" s="9" t="n">
        <x:v>75069</x:v>
      </x:c>
      <x:c r="C6" s="9" t="n">
        <x:v>72008</x:v>
      </x:c>
      <x:c r="D6" s="9" t="n">
        <x:v>15484</x:v>
      </x:c>
      <x:c r="E6" s="9" t="n">
        <x:v>2813</x:v>
      </x:c>
      <x:c r="F6" s="11" t="n">
        <x:f>IF(C6=0,"n.a.",(D6)/(C6))</x:f>
        <x:v>0.21503166314853905</x:v>
      </x:c>
      <x:c r="G6" s="11" t="n">
        <x:f>IF(317266=0,"n.a.",(D6)/(317266))</x:f>
        <x:v>0.048804473218056775</x:v>
      </x:c>
      <x:c r="H6" s="2"/>
      <x:c r="I6" s="2"/>
      <x:c r="J6" s="2"/>
      <x:c r="K6" s="2"/>
      <x:c r="L6" s="2"/>
      <x:c r="M6" s="2"/>
      <x:c r="N6" s="2"/>
    </x:row>
    <x:row r="7" ht="24" customHeight="1">
      <x:c r="A7" s="2" t="str">
        <x:v>DEN</x:v>
      </x:c>
      <x:c r="B7" s="9" t="n">
        <x:v>74200</x:v>
      </x:c>
      <x:c r="C7" s="9" t="n">
        <x:v>73347</x:v>
      </x:c>
      <x:c r="D7" s="9" t="n">
        <x:v>13800</x:v>
      </x:c>
      <x:c r="E7" s="9" t="n">
        <x:v>756</x:v>
      </x:c>
      <x:c r="F7" s="11" t="n">
        <x:f>IF(C7=0,"n.a.",(D7)/(C7))</x:f>
        <x:v>0.18814675446848542</x:v>
      </x:c>
      <x:c r="G7" s="11" t="n">
        <x:f>IF(317266=0,"n.a.",(D7)/(317266))</x:f>
        <x:v>0.04349662428372407</x:v>
      </x:c>
      <x:c r="H7" s="2"/>
      <x:c r="I7" s="2"/>
      <x:c r="J7" s="2"/>
      <x:c r="K7" s="2"/>
      <x:c r="L7" s="2"/>
      <x:c r="M7" s="2"/>
      <x:c r="N7" s="2"/>
    </x:row>
    <x:row r="8" ht="24" customHeight="1">
      <x:c r="A8" s="2" t="str">
        <x:v>ORD</x:v>
      </x:c>
      <x:c r="B8" s="9" t="n">
        <x:v>66204</x:v>
      </x:c>
      <x:c r="C8" s="9" t="n">
        <x:v>65121</x:v>
      </x:c>
      <x:c r="D8" s="9" t="n">
        <x:v>13486</x:v>
      </x:c>
      <x:c r="E8" s="9" t="n">
        <x:v>947</x:v>
      </x:c>
      <x:c r="F8" s="11" t="n">
        <x:f>IF(C8=0,"n.a.",(D8)/(C8))</x:f>
        <x:v>0.20709141444388138</x:v>
      </x:c>
      <x:c r="G8" s="11" t="n">
        <x:f>IF(317266=0,"n.a.",(D8)/(317266))</x:f>
        <x:v>0.04250691848480455</x:v>
      </x:c>
      <x:c r="H8" s="2"/>
      <x:c r="I8" s="2"/>
      <x:c r="J8" s="2"/>
      <x:c r="K8" s="2"/>
      <x:c r="L8" s="2"/>
      <x:c r="M8" s="2"/>
      <x:c r="N8" s="2"/>
    </x:row>
    <x:row r="9" ht="24" customHeight="1">
      <x:c r="A9" s="2" t="str">
        <x:v>ATL</x:v>
      </x:c>
      <x:c r="B9" s="9" t="n">
        <x:v>72974</x:v>
      </x:c>
      <x:c r="C9" s="9" t="n">
        <x:v>71311</x:v>
      </x:c>
      <x:c r="D9" s="9" t="n">
        <x:v>13287</x:v>
      </x:c>
      <x:c r="E9" s="9" t="n">
        <x:v>1589</x:v>
      </x:c>
      <x:c r="F9" s="11" t="n">
        <x:f>IF(C9=0,"n.a.",(D9)/(C9))</x:f>
        <x:v>0.186324690440465</x:v>
      </x:c>
      <x:c r="G9" s="11" t="n">
        <x:f>IF(317266=0,"n.a.",(D9)/(317266))</x:f>
        <x:v>0.041879684554916065</x:v>
      </x:c>
      <x:c r="H9" s="2"/>
      <x:c r="I9" s="2"/>
      <x:c r="J9" s="2"/>
      <x:c r="K9" s="2"/>
      <x:c r="L9" s="2"/>
      <x:c r="M9" s="2"/>
      <x:c r="N9" s="2"/>
    </x:row>
    <x:row r="10" ht="24" customHeight="1">
      <x:c r="A10" s="2" t="str">
        <x:v>DCA</x:v>
      </x:c>
      <x:c r="B10" s="9" t="n">
        <x:v>35066</x:v>
      </x:c>
      <x:c r="C10" s="9" t="n">
        <x:v>32717</x:v>
      </x:c>
      <x:c r="D10" s="9" t="n">
        <x:v>9609</x:v>
      </x:c>
      <x:c r="E10" s="9" t="n">
        <x:v>2139</x:v>
      </x:c>
      <x:c r="F10" s="11" t="n">
        <x:f>IF(C10=0,"n.a.",(D10)/(C10))</x:f>
        <x:v>0.29370052266405844</x:v>
      </x:c>
      <x:c r="G10" s="11" t="n">
        <x:f>IF(317266=0,"n.a.",(D10)/(317266))</x:f>
        <x:v>0.030286888604514825</x:v>
      </x:c>
      <x:c r="H10" s="2"/>
      <x:c r="I10" s="2"/>
      <x:c r="J10" s="2"/>
      <x:c r="K10" s="2"/>
      <x:c r="L10" s="2"/>
      <x:c r="M10" s="2"/>
      <x:c r="N10" s="2"/>
    </x:row>
    <x:row r="11" ht="24" customHeight="1">
      <x:c r="A11" s="2" t="str">
        <x:v>CLT</x:v>
      </x:c>
      <x:c r="B11" s="9" t="n">
        <x:v>50417</x:v>
      </x:c>
      <x:c r="C11" s="9" t="n">
        <x:v>48812</x:v>
      </x:c>
      <x:c r="D11" s="9" t="n">
        <x:v>8896</x:v>
      </x:c>
      <x:c r="E11" s="9" t="n">
        <x:v>1554</x:v>
      </x:c>
      <x:c r="F11" s="11" t="n">
        <x:f>IF(C11=0,"n.a.",(D11)/(C11))</x:f>
        <x:v>0.18225026632795213</x:v>
      </x:c>
      <x:c r="G11" s="11" t="n">
        <x:f>IF(317266=0,"n.a.",(D11)/(317266))</x:f>
        <x:v>0.028039563016522412</x:v>
      </x:c>
      <x:c r="H11" s="2"/>
      <x:c r="I11" s="2"/>
      <x:c r="J11" s="2"/>
      <x:c r="K11" s="2"/>
      <x:c r="L11" s="2"/>
      <x:c r="M11" s="2"/>
      <x:c r="N11" s="2"/>
    </x:row>
    <x:row r="12" ht="24" customHeight="1">
      <x:c r="A12" s="2" t="str">
        <x:v>LAS</x:v>
      </x:c>
      <x:c r="B12" s="9" t="n">
        <x:v>45631</x:v>
      </x:c>
      <x:c r="C12" s="9" t="n">
        <x:v>45177</x:v>
      </x:c>
      <x:c r="D12" s="9" t="n">
        <x:v>8776</x:v>
      </x:c>
      <x:c r="E12" s="9" t="n">
        <x:v>419</x:v>
      </x:c>
      <x:c r="F12" s="11" t="n">
        <x:f>IF(C12=0,"n.a.",(D12)/(C12))</x:f>
        <x:v>0.19425814020408616</x:v>
      </x:c>
      <x:c r="G12" s="11" t="n">
        <x:f>IF(317266=0,"n.a.",(D12)/(317266))</x:f>
        <x:v>0.027661331501011768</x:v>
      </x:c>
      <x:c r="H12" s="2"/>
      <x:c r="I12" s="2"/>
      <x:c r="J12" s="2"/>
      <x:c r="K12" s="2"/>
      <x:c r="L12" s="2"/>
      <x:c r="M12" s="2"/>
      <x:c r="N12" s="2"/>
    </x:row>
    <x:row r="13" ht="24" customHeight="1">
      <x:c r="A13" s="2" t="str">
        <x:v>PHX</x:v>
      </x:c>
      <x:c r="B13" s="9" t="n">
        <x:v>50662</x:v>
      </x:c>
      <x:c r="C13" s="9" t="n">
        <x:v>50219</x:v>
      </x:c>
      <x:c r="D13" s="9" t="n">
        <x:v>8229</x:v>
      </x:c>
      <x:c r="E13" s="9" t="n">
        <x:v>396</x:v>
      </x:c>
      <x:c r="F13" s="11" t="n">
        <x:f>IF(C13=0,"n.a.",(D13)/(C13))</x:f>
        <x:v>0.16386228319958582</x:v>
      </x:c>
      <x:c r="G13" s="11" t="n">
        <x:f>IF(317266=0,"n.a.",(D13)/(317266))</x:f>
        <x:v>0.025937226176142417</x:v>
      </x:c>
      <x:c r="H13" s="2"/>
      <x:c r="I13" s="2"/>
      <x:c r="J13" s="2"/>
      <x:c r="K13" s="2"/>
      <x:c r="L13" s="2"/>
      <x:c r="M13" s="2"/>
      <x:c r="N13" s="2"/>
    </x:row>
    <x:row r="14" ht="24" customHeight="1">
      <x:c r="A14" s="2" t="str">
        <x:v>MCO</x:v>
      </x:c>
      <x:c r="B14" s="9" t="n">
        <x:v>40693</x:v>
      </x:c>
      <x:c r="C14" s="9" t="n">
        <x:v>40098</x:v>
      </x:c>
      <x:c r="D14" s="9" t="n">
        <x:v>8180</x:v>
      </x:c>
      <x:c r="E14" s="9" t="n">
        <x:v>560</x:v>
      </x:c>
      <x:c r="F14" s="11" t="n">
        <x:f>IF(C14=0,"n.a.",(D14)/(C14))</x:f>
        <x:v>0.20400019951119758</x:v>
      </x:c>
      <x:c r="G14" s="11" t="n">
        <x:f>IF(317266=0,"n.a.",(D14)/(317266))</x:f>
        <x:v>0.02578278164064224</x:v>
      </x:c>
      <x:c r="H14" s="2"/>
      <x:c r="I14" s="2"/>
      <x:c r="J14" s="2"/>
      <x:c r="K14" s="2"/>
      <x:c r="L14" s="2"/>
      <x:c r="M14" s="2"/>
      <x:c r="N14" s="2"/>
    </x:row>
    <x:row r="15" ht="24" customHeight="1">
      <x:c r="A15" s="2" t="str">
        <x:v>LAX</x:v>
      </x:c>
      <x:c r="B15" s="9" t="n">
        <x:v>45139</x:v>
      </x:c>
      <x:c r="C15" s="9" t="n">
        <x:v>44719</x:v>
      </x:c>
      <x:c r="D15" s="9" t="n">
        <x:v>7430</x:v>
      </x:c>
      <x:c r="E15" s="9" t="n">
        <x:v>350</x:v>
      </x:c>
      <x:c r="F15" s="11" t="n">
        <x:f>IF(C15=0,"n.a.",(D15)/(C15))</x:f>
        <x:v>0.16614861691898297</x:v>
      </x:c>
      <x:c r="G15" s="11" t="n">
        <x:f>IF(317266=0,"n.a.",(D15)/(317266))</x:f>
        <x:v>0.023418834668700712</x:v>
      </x:c>
      <x:c r="H15" s="2"/>
      <x:c r="I15" s="2"/>
      <x:c r="J15" s="2"/>
      <x:c r="K15" s="2"/>
      <x:c r="L15" s="2"/>
      <x:c r="M15" s="2"/>
      <x:c r="N15" s="2"/>
    </x:row>
    <x:row r="16" ht="24" customHeight="1">
      <x:c r="A16" s="2" t="str">
        <x:v>SFO</x:v>
      </x:c>
      <x:c r="B16" s="9" t="n">
        <x:v>32670</x:v>
      </x:c>
      <x:c r="C16" s="9" t="n">
        <x:v>32333</x:v>
      </x:c>
      <x:c r="D16" s="9" t="n">
        <x:v>7149</x:v>
      </x:c>
      <x:c r="E16" s="9" t="n">
        <x:v>290</x:v>
      </x:c>
      <x:c r="F16" s="11" t="n">
        <x:f>IF(C16=0,"n.a.",(D16)/(C16))</x:f>
        <x:v>0.22110537222033216</x:v>
      </x:c>
      <x:c r="G16" s="11" t="n">
        <x:f>IF(317266=0,"n.a.",(D16)/(317266))</x:f>
        <x:v>0.02253314253654662</x:v>
      </x:c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LGA</x:v>
      </x:c>
      <x:c r="B17" s="9" t="n">
        <x:v>32182</x:v>
      </x:c>
      <x:c r="C17" s="9" t="n">
        <x:v>31342</x:v>
      </x:c>
      <x:c r="D17" s="9" t="n">
        <x:v>6837</x:v>
      </x:c>
      <x:c r="E17" s="9" t="n">
        <x:v>692</x:v>
      </x:c>
      <x:c r="F17" s="11" t="n">
        <x:f>IF(C17=0,"n.a.",(D17)/(C17))</x:f>
        <x:v>0.21814179056856614</x:v>
      </x:c>
      <x:c r="G17" s="11" t="n">
        <x:f>IF(317266=0,"n.a.",(D17)/(317266))</x:f>
        <x:v>0.021549740596218947</x:v>
      </x:c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MIA</x:v>
      </x:c>
      <x:c r="B18" s="9" t="n">
        <x:v>30544</x:v>
      </x:c>
      <x:c r="C18" s="9" t="n">
        <x:v>30052</x:v>
      </x:c>
      <x:c r="D18" s="9" t="n">
        <x:v>6448</x:v>
      </x:c>
      <x:c r="E18" s="9" t="n">
        <x:v>431</x:v>
      </x:c>
      <x:c r="F18" s="11" t="n">
        <x:f>IF(C18=0,"n.a.",(D18)/(C18))</x:f>
        <x:v>0.21456142686010915</x:v>
      </x:c>
      <x:c r="G18" s="11" t="n">
        <x:f>IF(317266=0,"n.a.",(D18)/(317266))</x:f>
        <x:v>0.020323640100105275</x:v>
      </x:c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BOS</x:v>
      </x:c>
      <x:c r="B19" s="9" t="n">
        <x:v>33275</x:v>
      </x:c>
      <x:c r="C19" s="9" t="n">
        <x:v>32645</x:v>
      </x:c>
      <x:c r="D19" s="9" t="n">
        <x:v>6414</x:v>
      </x:c>
      <x:c r="E19" s="9" t="n">
        <x:v>590</x:v>
      </x:c>
      <x:c r="F19" s="11" t="n">
        <x:f>IF(C19=0,"n.a.",(D19)/(C19))</x:f>
        <x:v>0.19647725532240773</x:v>
      </x:c>
      <x:c r="G19" s="11" t="n">
        <x:f>IF(317266=0,"n.a.",(D19)/(317266))</x:f>
        <x:v>0.020216474504043926</x:v>
      </x:c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SEA</x:v>
      </x:c>
      <x:c r="B20" s="9" t="n">
        <x:v>35195</x:v>
      </x:c>
      <x:c r="C20" s="9" t="n">
        <x:v>34764</x:v>
      </x:c>
      <x:c r="D20" s="9" t="n">
        <x:v>6391</x:v>
      </x:c>
      <x:c r="E20" s="9" t="n">
        <x:v>352</x:v>
      </x:c>
      <x:c r="F20" s="11" t="n">
        <x:f>IF(C20=0,"n.a.",(D20)/(C20))</x:f>
        <x:v>0.18383960418824072</x:v>
      </x:c>
      <x:c r="G20" s="11" t="n">
        <x:f>IF(317266=0,"n.a.",(D20)/(317266))</x:f>
        <x:v>0.02014398013023772</x:v>
      </x:c>
      <x:c r="H20" s="2"/>
      <x:c r="I20" s="2"/>
      <x:c r="J20" s="2"/>
      <x:c r="K20" s="2"/>
      <x:c r="L20" s="2"/>
      <x:c r="M20" s="2"/>
      <x:c r="N20" s="2"/>
    </x:row>
    <x:row r="21" ht="24" customHeight="1">
      <x:c r="A21" s="2" t="str">
        <x:v>EWR</x:v>
      </x:c>
      <x:c r="B21" s="9" t="n">
        <x:v>30197</x:v>
      </x:c>
      <x:c r="C21" s="9" t="n">
        <x:v>29696</x:v>
      </x:c>
      <x:c r="D21" s="9" t="n">
        <x:v>5869</x:v>
      </x:c>
      <x:c r="E21" s="9" t="n">
        <x:v>434</x:v>
      </x:c>
      <x:c r="F21" s="11" t="n">
        <x:f>IF(C21=0,"n.a.",(D21)/(C21))</x:f>
        <x:v>0.1976360452586207</x:v>
      </x:c>
      <x:c r="G21" s="11" t="n">
        <x:f>IF(317266=0,"n.a.",(D21)/(317266))</x:f>
        <x:v>0.018498673037766415</x:v>
      </x:c>
      <x:c r="H21" s="2"/>
      <x:c r="I21" s="2"/>
      <x:c r="J21" s="2"/>
      <x:c r="K21" s="2"/>
      <x:c r="L21" s="2"/>
      <x:c r="M21" s="2"/>
      <x:c r="N21" s="2"/>
    </x:row>
    <x:row r="22" ht="24" customHeight="1">
      <x:c r="A22" s="2" t="str">
        <x:v>DTW</x:v>
      </x:c>
      <x:c r="B22" s="9" t="n">
        <x:v>28205</x:v>
      </x:c>
      <x:c r="C22" s="9" t="n">
        <x:v>27862</x:v>
      </x:c>
      <x:c r="D22" s="9" t="n">
        <x:v>5537</x:v>
      </x:c>
      <x:c r="E22" s="9" t="n">
        <x:v>316</x:v>
      </x:c>
      <x:c r="F22" s="11" t="n">
        <x:f>IF(C22=0,"n.a.",(D22)/(C22))</x:f>
        <x:v>0.1987294523006245</x:v>
      </x:c>
      <x:c r="G22" s="11" t="n">
        <x:f>IF(317266=0,"n.a.",(D22)/(317266))</x:f>
        <x:v>0.0174522325115203</x:v>
      </x:c>
      <x:c r="H22" s="2"/>
      <x:c r="I22" s="2"/>
      <x:c r="J22" s="2"/>
      <x:c r="K22" s="2"/>
      <x:c r="L22" s="2"/>
      <x:c r="M22" s="2"/>
      <x:c r="N22" s="2"/>
    </x:row>
    <x:row r="23" ht="24" customHeight="1">
      <x:c r="A23" s="2" t="str">
        <x:v>FLL</x:v>
      </x:c>
      <x:c r="B23" s="9" t="n">
        <x:v>24041</x:v>
      </x:c>
      <x:c r="C23" s="9" t="n">
        <x:v>23637</x:v>
      </x:c>
      <x:c r="D23" s="9" t="n">
        <x:v>5400</x:v>
      </x:c>
      <x:c r="E23" s="9" t="n">
        <x:v>351</x:v>
      </x:c>
      <x:c r="F23" s="11" t="n">
        <x:f>IF(C23=0,"n.a.",(D23)/(C23))</x:f>
        <x:v>0.22845538773956087</x:v>
      </x:c>
      <x:c r="G23" s="11" t="n">
        <x:f>IF(317266=0,"n.a.",(D23)/(317266))</x:f>
        <x:v>0.017020418197978983</x:v>
      </x:c>
      <x:c r="H23" s="2"/>
      <x:c r="I23" s="2"/>
      <x:c r="J23" s="2"/>
      <x:c r="K23" s="2"/>
      <x:c r="L23" s="2"/>
      <x:c r="M23" s="2"/>
      <x:c r="N23" s="2"/>
    </x:row>
    <x:row r="24" ht="24" customHeight="1">
      <x:c r="A24" s="2" t="str">
        <x:v>IAH</x:v>
      </x:c>
      <x:c r="B24" s="9" t="n">
        <x:v>27569</x:v>
      </x:c>
      <x:c r="C24" s="9" t="n">
        <x:v>26877</x:v>
      </x:c>
      <x:c r="D24" s="9" t="n">
        <x:v>4937</x:v>
      </x:c>
      <x:c r="E24" s="9" t="n">
        <x:v>637</x:v>
      </x:c>
      <x:c r="F24" s="11" t="n">
        <x:f>IF(C24=0,"n.a.",(D24)/(C24))</x:f>
        <x:v>0.18368865572794582</x:v>
      </x:c>
      <x:c r="G24" s="11" t="n">
        <x:f>IF(317266=0,"n.a.",(D24)/(317266))</x:f>
        <x:v>0.015561074933967082</x:v>
      </x:c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JFK</x:v>
      </x:c>
      <x:c r="B25" s="9" t="n">
        <x:v>24911</x:v>
      </x:c>
      <x:c r="C25" s="9" t="n">
        <x:v>24469</x:v>
      </x:c>
      <x:c r="D25" s="9" t="n">
        <x:v>4884</x:v>
      </x:c>
      <x:c r="E25" s="9" t="n">
        <x:v>375</x:v>
      </x:c>
      <x:c r="F25" s="11" t="n">
        <x:f>IF(C25=0,"n.a.",(D25)/(C25))</x:f>
        <x:v>0.19959949323633985</x:v>
      </x:c>
      <x:c r="G25" s="11" t="n">
        <x:f>IF(317266=0,"n.a.",(D25)/(317266))</x:f>
        <x:v>0.015394022681283214</x:v>
      </x:c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</x:sheetData>
  <x:pageMargins left="0.7" right="0.7" top="0.75" bottom="0.75" header="0.3" footer="0.3"/>
  <x:drawing xmlns:r="http://schemas.openxmlformats.org/officeDocument/2006/relationships" r:id="R6bf13ca6918a435b"/>
  <x:tableParts count="1">
    <x:tablePart xmlns:r="http://schemas.openxmlformats.org/officeDocument/2006/relationships" r:id="R93976888be214c64"/>
  </x:tableParts>
</x:worksheet>
</file>

<file path=xl/worksheets/sheet4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Route delay concentration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4" t="str">
        <x:v>Fixed Q1 2025. Top 20 by late-flight contribution; directed routes with ≥1,000 eligible arrivals.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8" t="str">
        <x:v>Directed route</x:v>
      </x:c>
      <x:c r="B5" s="8" t="str">
        <x:v>Reported</x:v>
      </x:c>
      <x:c r="C5" s="8" t="str">
        <x:v>Eligible</x:v>
      </x:c>
      <x:c r="D5" s="8" t="str">
        <x:v>Late</x:v>
      </x:c>
      <x:c r="E5" s="8" t="str">
        <x:v>Cancelled</x:v>
      </x:c>
      <x:c r="F5" s="8" t="str">
        <x:v>Late rate</x:v>
      </x:c>
      <x:c r="G5" s="8" t="str">
        <x:v>Network late share</x:v>
      </x:c>
      <x:c r="H5" s="2"/>
      <x:c r="I5" s="2"/>
      <x:c r="J5" s="2"/>
      <x:c r="K5" s="2"/>
      <x:c r="L5" s="2"/>
      <x:c r="M5" s="2"/>
      <x:c r="N5" s="2"/>
    </x:row>
    <x:row r="6" ht="24" customHeight="1">
      <x:c r="A6" s="2" t="str">
        <x:v>ORD → LGA</x:v>
      </x:c>
      <x:c r="B6" s="9" t="n">
        <x:v>2757</x:v>
      </x:c>
      <x:c r="C6" s="9" t="n">
        <x:v>2711</x:v>
      </x:c>
      <x:c r="D6" s="9" t="n">
        <x:v>618</x:v>
      </x:c>
      <x:c r="E6" s="9" t="n">
        <x:v>35</x:v>
      </x:c>
      <x:c r="F6" s="11" t="n">
        <x:f>IF(C6=0,"n.a.",(D6)/(C6))</x:f>
        <x:v>0.2279601623017337</x:v>
      </x:c>
      <x:c r="G6" s="11" t="n">
        <x:f>IF(317266=0,"n.a.",(D6)/(317266))</x:f>
        <x:v>0.001947892304879817</x:v>
      </x:c>
      <x:c r="H6" s="2"/>
      <x:c r="I6" s="2"/>
      <x:c r="J6" s="2"/>
      <x:c r="K6" s="2"/>
      <x:c r="L6" s="2"/>
      <x:c r="M6" s="2"/>
      <x:c r="N6" s="2"/>
    </x:row>
    <x:row r="7" ht="24" customHeight="1">
      <x:c r="A7" s="2" t="str">
        <x:v>BOS → DCA</x:v>
      </x:c>
      <x:c r="B7" s="9" t="n">
        <x:v>2367</x:v>
      </x:c>
      <x:c r="C7" s="9" t="n">
        <x:v>2260</x:v>
      </x:c>
      <x:c r="D7" s="9" t="n">
        <x:v>609</x:v>
      </x:c>
      <x:c r="E7" s="9" t="n">
        <x:v>99</x:v>
      </x:c>
      <x:c r="F7" s="11" t="n">
        <x:f>IF(C7=0,"n.a.",(D7)/(C7))</x:f>
        <x:v>0.26946902654867255</x:v>
      </x:c>
      <x:c r="G7" s="11" t="n">
        <x:f>IF(317266=0,"n.a.",(D7)/(317266))</x:f>
        <x:v>0.0019195249412165187</x:v>
      </x:c>
      <x:c r="H7" s="2"/>
      <x:c r="I7" s="2"/>
      <x:c r="J7" s="2"/>
      <x:c r="K7" s="2"/>
      <x:c r="L7" s="2"/>
      <x:c r="M7" s="2"/>
      <x:c r="N7" s="2"/>
    </x:row>
    <x:row r="8" ht="24" customHeight="1">
      <x:c r="A8" s="2" t="str">
        <x:v>LAX → SFO</x:v>
      </x:c>
      <x:c r="B8" s="9" t="n">
        <x:v>2586</x:v>
      </x:c>
      <x:c r="C8" s="9" t="n">
        <x:v>2576</x:v>
      </x:c>
      <x:c r="D8" s="9" t="n">
        <x:v>596</x:v>
      </x:c>
      <x:c r="E8" s="9" t="n">
        <x:v>8</x:v>
      </x:c>
      <x:c r="F8" s="11" t="n">
        <x:f>IF(C8=0,"n.a.",(D8)/(C8))</x:f>
        <x:v>0.23136645962732919</x:v>
      </x:c>
      <x:c r="G8" s="11" t="n">
        <x:f>IF(317266=0,"n.a.",(D8)/(317266))</x:f>
        <x:v>0.001878549860369532</x:v>
      </x:c>
      <x:c r="H8" s="2"/>
      <x:c r="I8" s="2"/>
      <x:c r="J8" s="2"/>
      <x:c r="K8" s="2"/>
      <x:c r="L8" s="2"/>
      <x:c r="M8" s="2"/>
      <x:c r="N8" s="2"/>
    </x:row>
    <x:row r="9" ht="24" customHeight="1">
      <x:c r="A9" s="2" t="str">
        <x:v>ATL → MCO</x:v>
      </x:c>
      <x:c r="B9" s="9" t="n">
        <x:v>2107</x:v>
      </x:c>
      <x:c r="C9" s="9" t="n">
        <x:v>2074</x:v>
      </x:c>
      <x:c r="D9" s="9" t="n">
        <x:v>580</x:v>
      </x:c>
      <x:c r="E9" s="9" t="n">
        <x:v>33</x:v>
      </x:c>
      <x:c r="F9" s="11" t="n">
        <x:f>IF(C9=0,"n.a.",(D9)/(C9))</x:f>
        <x:v>0.2796528447444552</x:v>
      </x:c>
      <x:c r="G9" s="11" t="n">
        <x:f>IF(317266=0,"n.a.",(D9)/(317266))</x:f>
        <x:v>0.0018281189916347796</x:v>
      </x:c>
      <x:c r="H9" s="2"/>
      <x:c r="I9" s="2"/>
      <x:c r="J9" s="2"/>
      <x:c r="K9" s="2"/>
      <x:c r="L9" s="2"/>
      <x:c r="M9" s="2"/>
      <x:c r="N9" s="2"/>
    </x:row>
    <x:row r="10" ht="24" customHeight="1">
      <x:c r="A10" s="2" t="str">
        <x:v>LGA → ORD</x:v>
      </x:c>
      <x:c r="B10" s="9" t="n">
        <x:v>2755</x:v>
      </x:c>
      <x:c r="C10" s="9" t="n">
        <x:v>2713</x:v>
      </x:c>
      <x:c r="D10" s="9" t="n">
        <x:v>553</x:v>
      </x:c>
      <x:c r="E10" s="9" t="n">
        <x:v>39</x:v>
      </x:c>
      <x:c r="F10" s="11" t="n">
        <x:f>IF(C10=0,"n.a.",(D10)/(C10))</x:f>
        <x:v>0.20383339476594176</x:v>
      </x:c>
      <x:c r="G10" s="11" t="n">
        <x:f>IF(317266=0,"n.a.",(D10)/(317266))</x:f>
        <x:v>0.0017430169006448846</x:v>
      </x:c>
      <x:c r="H10" s="2"/>
      <x:c r="I10" s="2"/>
      <x:c r="J10" s="2"/>
      <x:c r="K10" s="2"/>
      <x:c r="L10" s="2"/>
      <x:c r="M10" s="2"/>
      <x:c r="N10" s="2"/>
    </x:row>
    <x:row r="11" ht="24" customHeight="1">
      <x:c r="A11" s="2" t="str">
        <x:v>ATL → DCA</x:v>
      </x:c>
      <x:c r="B11" s="9" t="n">
        <x:v>1708</x:v>
      </x:c>
      <x:c r="C11" s="9" t="n">
        <x:v>1626</x:v>
      </x:c>
      <x:c r="D11" s="9" t="n">
        <x:v>535</x:v>
      </x:c>
      <x:c r="E11" s="9" t="n">
        <x:v>73</x:v>
      </x:c>
      <x:c r="F11" s="11" t="n">
        <x:f>IF(C11=0,"n.a.",(D11)/(C11))</x:f>
        <x:v>0.3290282902829028</x:v>
      </x:c>
      <x:c r="G11" s="11" t="n">
        <x:f>IF(317266=0,"n.a.",(D11)/(317266))</x:f>
        <x:v>0.0016862821733182882</x:v>
      </x:c>
      <x:c r="H11" s="2"/>
      <x:c r="I11" s="2"/>
      <x:c r="J11" s="2"/>
      <x:c r="K11" s="2"/>
      <x:c r="L11" s="2"/>
      <x:c r="M11" s="2"/>
      <x:c r="N11" s="2"/>
    </x:row>
    <x:row r="12" ht="24" customHeight="1">
      <x:c r="A12" s="2" t="str">
        <x:v>MCO → ATL</x:v>
      </x:c>
      <x:c r="B12" s="9" t="n">
        <x:v>2093</x:v>
      </x:c>
      <x:c r="C12" s="9" t="n">
        <x:v>2065</x:v>
      </x:c>
      <x:c r="D12" s="9" t="n">
        <x:v>516</x:v>
      </x:c>
      <x:c r="E12" s="9" t="n">
        <x:v>28</x:v>
      </x:c>
      <x:c r="F12" s="11" t="n">
        <x:f>IF(C12=0,"n.a.",(D12)/(C12))</x:f>
        <x:v>0.24987893462469735</x:v>
      </x:c>
      <x:c r="G12" s="11" t="n">
        <x:f>IF(317266=0,"n.a.",(D12)/(317266))</x:f>
        <x:v>0.0016263955166957694</x:v>
      </x:c>
      <x:c r="H12" s="2"/>
      <x:c r="I12" s="2"/>
      <x:c r="J12" s="2"/>
      <x:c r="K12" s="2"/>
      <x:c r="L12" s="2"/>
      <x:c r="M12" s="2"/>
      <x:c r="N12" s="2"/>
    </x:row>
    <x:row r="13" ht="24" customHeight="1">
      <x:c r="A13" s="2" t="str">
        <x:v>DEN → PHX</x:v>
      </x:c>
      <x:c r="B13" s="9" t="n">
        <x:v>2529</x:v>
      </x:c>
      <x:c r="C13" s="9" t="n">
        <x:v>2516</x:v>
      </x:c>
      <x:c r="D13" s="9" t="n">
        <x:v>505</x:v>
      </x:c>
      <x:c r="E13" s="9" t="n">
        <x:v>12</x:v>
      </x:c>
      <x:c r="F13" s="11" t="n">
        <x:f>IF(C13=0,"n.a.",(D13)/(C13))</x:f>
        <x:v>0.2007154213036566</x:v>
      </x:c>
      <x:c r="G13" s="11" t="n">
        <x:f>IF(317266=0,"n.a.",(D13)/(317266))</x:f>
        <x:v>0.0015917242944406271</x:v>
      </x:c>
      <x:c r="H13" s="2"/>
      <x:c r="I13" s="2"/>
      <x:c r="J13" s="2"/>
      <x:c r="K13" s="2"/>
      <x:c r="L13" s="2"/>
      <x:c r="M13" s="2"/>
      <x:c r="N13" s="2"/>
    </x:row>
    <x:row r="14" ht="24" customHeight="1">
      <x:c r="A14" s="2" t="str">
        <x:v>DCA → BOS</x:v>
      </x:c>
      <x:c r="B14" s="9" t="n">
        <x:v>2367</x:v>
      </x:c>
      <x:c r="C14" s="9" t="n">
        <x:v>2263</x:v>
      </x:c>
      <x:c r="D14" s="9" t="n">
        <x:v>494</x:v>
      </x:c>
      <x:c r="E14" s="9" t="n">
        <x:v>104</x:v>
      </x:c>
      <x:c r="F14" s="11" t="n">
        <x:f>IF(C14=0,"n.a.",(D14)/(C14))</x:f>
        <x:v>0.21829429960229785</x:v>
      </x:c>
      <x:c r="G14" s="11" t="n">
        <x:f>IF(317266=0,"n.a.",(D14)/(317266))</x:f>
        <x:v>0.0015570530721854847</x:v>
      </x:c>
      <x:c r="H14" s="2"/>
      <x:c r="I14" s="2"/>
      <x:c r="J14" s="2"/>
      <x:c r="K14" s="2"/>
      <x:c r="L14" s="2"/>
      <x:c r="M14" s="2"/>
      <x:c r="N14" s="2"/>
    </x:row>
    <x:row r="15" ht="24" customHeight="1">
      <x:c r="A15" s="2" t="str">
        <x:v>ATL → FLL</x:v>
      </x:c>
      <x:c r="B15" s="9" t="n">
        <x:v>1707</x:v>
      </x:c>
      <x:c r="C15" s="9" t="n">
        <x:v>1668</x:v>
      </x:c>
      <x:c r="D15" s="9" t="n">
        <x:v>490</x:v>
      </x:c>
      <x:c r="E15" s="9" t="n">
        <x:v>37</x:v>
      </x:c>
      <x:c r="F15" s="11" t="n">
        <x:f>IF(C15=0,"n.a.",(D15)/(C15))</x:f>
        <x:v>0.29376498800959233</x:v>
      </x:c>
      <x:c r="G15" s="11" t="n">
        <x:f>IF(317266=0,"n.a.",(D15)/(317266))</x:f>
        <x:v>0.0015444453550017966</x:v>
      </x:c>
      <x:c r="H15" s="2"/>
      <x:c r="I15" s="2"/>
      <x:c r="J15" s="2"/>
      <x:c r="K15" s="2"/>
      <x:c r="L15" s="2"/>
      <x:c r="M15" s="2"/>
      <x:c r="N15" s="2"/>
    </x:row>
    <x:row r="16" ht="24" customHeight="1">
      <x:c r="A16" s="2" t="str">
        <x:v>LAS → SAN</x:v>
      </x:c>
      <x:c r="B16" s="9" t="n">
        <x:v>1774</x:v>
      </x:c>
      <x:c r="C16" s="9" t="n">
        <x:v>1752</x:v>
      </x:c>
      <x:c r="D16" s="9" t="n">
        <x:v>476</x:v>
      </x:c>
      <x:c r="E16" s="9" t="n">
        <x:v>22</x:v>
      </x:c>
      <x:c r="F16" s="11" t="n">
        <x:f>IF(C16=0,"n.a.",(D16)/(C16))</x:f>
        <x:v>0.271689497716895</x:v>
      </x:c>
      <x:c r="G16" s="11" t="n">
        <x:f>IF(317266=0,"n.a.",(D16)/(317266))</x:f>
        <x:v>0.001500318344858888</x:v>
      </x:c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SFO → LAX</x:v>
      </x:c>
      <x:c r="B17" s="9" t="n">
        <x:v>2582</x:v>
      </x:c>
      <x:c r="C17" s="9" t="n">
        <x:v>2576</x:v>
      </x:c>
      <x:c r="D17" s="9" t="n">
        <x:v>470</x:v>
      </x:c>
      <x:c r="E17" s="9" t="n">
        <x:v>4</x:v>
      </x:c>
      <x:c r="F17" s="11" t="n">
        <x:f>IF(C17=0,"n.a.",(D17)/(C17))</x:f>
        <x:v>0.18245341614906832</x:v>
      </x:c>
      <x:c r="G17" s="11" t="n">
        <x:f>IF(317266=0,"n.a.",(D17)/(317266))</x:f>
        <x:v>0.001481406769083356</x:v>
      </x:c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ORD → DCA</x:v>
      </x:c>
      <x:c r="B18" s="9" t="n">
        <x:v>1626</x:v>
      </x:c>
      <x:c r="C18" s="9" t="n">
        <x:v>1565</x:v>
      </x:c>
      <x:c r="D18" s="9" t="n">
        <x:v>461</x:v>
      </x:c>
      <x:c r="E18" s="9" t="n">
        <x:v>52</x:v>
      </x:c>
      <x:c r="F18" s="11" t="n">
        <x:f>IF(C18=0,"n.a.",(D18)/(C18))</x:f>
        <x:v>0.29456869009584663</x:v>
      </x:c>
      <x:c r="G18" s="11" t="n">
        <x:f>IF(317266=0,"n.a.",(D18)/(317266))</x:f>
        <x:v>0.0014530394054200577</x:v>
      </x:c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DEN → LAS</x:v>
      </x:c>
      <x:c r="B19" s="9" t="n">
        <x:v>1935</x:v>
      </x:c>
      <x:c r="C19" s="9" t="n">
        <x:v>1932</x:v>
      </x:c>
      <x:c r="D19" s="9" t="n">
        <x:v>457</x:v>
      </x:c>
      <x:c r="E19" s="9" t="n">
        <x:v>3</x:v>
      </x:c>
      <x:c r="F19" s="11" t="n">
        <x:f>IF(C19=0,"n.a.",(D19)/(C19))</x:f>
        <x:v>0.2365424430641822</x:v>
      </x:c>
      <x:c r="G19" s="11" t="n">
        <x:f>IF(317266=0,"n.a.",(D19)/(317266))</x:f>
        <x:v>0.0014404316882363694</x:v>
      </x:c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MIA → ATL</x:v>
      </x:c>
      <x:c r="B20" s="9" t="n">
        <x:v>1634</x:v>
      </x:c>
      <x:c r="C20" s="9" t="n">
        <x:v>1601</x:v>
      </x:c>
      <x:c r="D20" s="9" t="n">
        <x:v>455</x:v>
      </x:c>
      <x:c r="E20" s="9" t="n">
        <x:v>32</x:v>
      </x:c>
      <x:c r="F20" s="11" t="n">
        <x:f>IF(C20=0,"n.a.",(D20)/(C20))</x:f>
        <x:v>0.28419737663960026</x:v>
      </x:c>
      <x:c r="G20" s="11" t="n">
        <x:f>IF(317266=0,"n.a.",(D20)/(317266))</x:f>
        <x:v>0.0014341278296445255</x:v>
      </x:c>
      <x:c r="H20" s="2"/>
      <x:c r="I20" s="2"/>
      <x:c r="J20" s="2"/>
      <x:c r="K20" s="2"/>
      <x:c r="L20" s="2"/>
      <x:c r="M20" s="2"/>
      <x:c r="N20" s="2"/>
    </x:row>
    <x:row r="21" ht="24" customHeight="1">
      <x:c r="A21" s="2" t="str">
        <x:v>ATL → MIA</x:v>
      </x:c>
      <x:c r="B21" s="9" t="n">
        <x:v>1634</x:v>
      </x:c>
      <x:c r="C21" s="9" t="n">
        <x:v>1599</x:v>
      </x:c>
      <x:c r="D21" s="9" t="n">
        <x:v>443</x:v>
      </x:c>
      <x:c r="E21" s="9" t="n">
        <x:v>33</x:v>
      </x:c>
      <x:c r="F21" s="11" t="n">
        <x:f>IF(C21=0,"n.a.",(D21)/(C21))</x:f>
        <x:v>0.2770481550969356</x:v>
      </x:c>
      <x:c r="G21" s="11" t="n">
        <x:f>IF(317266=0,"n.a.",(D21)/(317266))</x:f>
        <x:v>0.001396304678093461</x:v>
      </x:c>
      <x:c r="H21" s="2"/>
      <x:c r="I21" s="2"/>
      <x:c r="J21" s="2"/>
      <x:c r="K21" s="2"/>
      <x:c r="L21" s="2"/>
      <x:c r="M21" s="2"/>
      <x:c r="N21" s="2"/>
    </x:row>
    <x:row r="22" ht="24" customHeight="1">
      <x:c r="A22" s="2" t="str">
        <x:v>FLL → ATL</x:v>
      </x:c>
      <x:c r="B22" s="9" t="n">
        <x:v>1710</x:v>
      </x:c>
      <x:c r="C22" s="9" t="n">
        <x:v>1674</x:v>
      </x:c>
      <x:c r="D22" s="9" t="n">
        <x:v>443</x:v>
      </x:c>
      <x:c r="E22" s="9" t="n">
        <x:v>36</x:v>
      </x:c>
      <x:c r="F22" s="11" t="n">
        <x:f>IF(C22=0,"n.a.",(D22)/(C22))</x:f>
        <x:v>0.26463560334528075</x:v>
      </x:c>
      <x:c r="G22" s="11" t="n">
        <x:f>IF(317266=0,"n.a.",(D22)/(317266))</x:f>
        <x:v>0.001396304678093461</x:v>
      </x:c>
      <x:c r="H22" s="2"/>
      <x:c r="I22" s="2"/>
      <x:c r="J22" s="2"/>
      <x:c r="K22" s="2"/>
      <x:c r="L22" s="2"/>
      <x:c r="M22" s="2"/>
      <x:c r="N22" s="2"/>
    </x:row>
    <x:row r="23" ht="24" customHeight="1">
      <x:c r="A23" s="2" t="str">
        <x:v>MIA → LGA</x:v>
      </x:c>
      <x:c r="B23" s="9" t="n">
        <x:v>1646</x:v>
      </x:c>
      <x:c r="C23" s="9" t="n">
        <x:v>1614</x:v>
      </x:c>
      <x:c r="D23" s="9" t="n">
        <x:v>433</x:v>
      </x:c>
      <x:c r="E23" s="9" t="n">
        <x:v>18</x:v>
      </x:c>
      <x:c r="F23" s="11" t="n">
        <x:f>IF(C23=0,"n.a.",(D23)/(C23))</x:f>
        <x:v>0.26827757125154894</x:v>
      </x:c>
      <x:c r="G23" s="11" t="n">
        <x:f>IF(317266=0,"n.a.",(D23)/(317266))</x:f>
        <x:v>0.0013647853851342408</x:v>
      </x:c>
      <x:c r="H23" s="2"/>
      <x:c r="I23" s="2"/>
      <x:c r="J23" s="2"/>
      <x:c r="K23" s="2"/>
      <x:c r="L23" s="2"/>
      <x:c r="M23" s="2"/>
      <x:c r="N23" s="2"/>
    </x:row>
    <x:row r="24" ht="24" customHeight="1">
      <x:c r="A24" s="2" t="str">
        <x:v>ATL → EWR</x:v>
      </x:c>
      <x:c r="B24" s="9" t="n">
        <x:v>1502</x:v>
      </x:c>
      <x:c r="C24" s="9" t="n">
        <x:v>1466</x:v>
      </x:c>
      <x:c r="D24" s="9" t="n">
        <x:v>426</x:v>
      </x:c>
      <x:c r="E24" s="9" t="n">
        <x:v>33</x:v>
      </x:c>
      <x:c r="F24" s="11" t="n">
        <x:f>IF(C24=0,"n.a.",(D24)/(C24))</x:f>
        <x:v>0.29058663028649384</x:v>
      </x:c>
      <x:c r="G24" s="11" t="n">
        <x:f>IF(317266=0,"n.a.",(D24)/(317266))</x:f>
        <x:v>0.0013427218800627864</x:v>
      </x:c>
      <x:c r="H24" s="2"/>
      <x:c r="I24" s="2"/>
      <x:c r="J24" s="2"/>
      <x:c r="K24" s="2"/>
      <x:c r="L24" s="2"/>
      <x:c r="M24" s="2"/>
      <x:c r="N24" s="2"/>
    </x:row>
    <x:row r="25" ht="24" customHeight="1">
      <x:c r="A25" s="2" t="str">
        <x:v>SLC → DEN</x:v>
      </x:c>
      <x:c r="B25" s="9" t="n">
        <x:v>1935</x:v>
      </x:c>
      <x:c r="C25" s="9" t="n">
        <x:v>1932</x:v>
      </x:c>
      <x:c r="D25" s="9" t="n">
        <x:v>426</x:v>
      </x:c>
      <x:c r="E25" s="9" t="n">
        <x:v>3</x:v>
      </x:c>
      <x:c r="F25" s="11" t="n">
        <x:f>IF(C25=0,"n.a.",(D25)/(C25))</x:f>
        <x:v>0.2204968944099379</x:v>
      </x:c>
      <x:c r="G25" s="11" t="n">
        <x:f>IF(317266=0,"n.a.",(D25)/(317266))</x:f>
        <x:v>0.0013427218800627864</x:v>
      </x:c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</x:sheetData>
  <x:pageMargins left="0.7" right="0.7" top="0.75" bottom="0.75" header="0.3" footer="0.3"/>
  <x:drawing xmlns:r="http://schemas.openxmlformats.org/officeDocument/2006/relationships" r:id="R411355570a1e457c"/>
  <x:tableParts count="1">
    <x:tablePart xmlns:r="http://schemas.openxmlformats.org/officeDocument/2006/relationships" r:id="Rfd531547f2614f93"/>
  </x:tableParts>
</x:worksheet>
</file>

<file path=xl/worksheets/sheet5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Arrival delay severity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Fixed Q1 2025. Eligible flights only. Negative arrival delays remain signed.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8" t="str">
        <x:v>Arrival delay</x:v>
      </x:c>
      <x:c r="B5" s="8" t="str">
        <x:v>Flights</x:v>
      </x:c>
      <x:c r="C5" s="8" t="str">
        <x:v>Signed minutes</x:v>
      </x:c>
      <x:c r="D5" s="8" t="str">
        <x:v>Eligible share</x:v>
      </x:c>
      <x:c r="E5" s="8" t="str">
        <x:v>Late-flight share</x:v>
      </x:c>
      <x:c r="F5" s="8" t="str">
        <x:v>Late-minute share</x:v>
      </x:c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under 15</x:v>
      </x:c>
      <x:c r="B6" s="9" t="n">
        <x:v>1293780</x:v>
      </x:c>
      <x:c r="C6" s="9" t="n">
        <x:v>-14703145</x:v>
      </x:c>
      <x:c r="D6" s="11" t="n">
        <x:f>IF(SUM($B$6:$B$10)=0,"n.a.",(B6)/(SUM($B$6:$B$10)))</x:f>
        <x:v>0.803068317105781</x:v>
      </x:c>
      <x:c r="E6" s="15" t="str">
        <x:v>n.a.</x:v>
      </x:c>
      <x:c r="F6" s="15" t="str">
        <x:v>n.a.</x:v>
      </x:c>
      <x:c r="G6" s="2"/>
      <x:c r="H6" s="2"/>
      <x:c r="I6" s="2"/>
      <x:c r="J6" s="2"/>
      <x:c r="K6" s="2"/>
      <x:c r="L6" s="2"/>
      <x:c r="M6" s="2"/>
    </x:row>
    <x:row r="7" ht="24" customHeight="1">
      <x:c r="A7" s="2" t="str">
        <x:v>15-29</x:v>
      </x:c>
      <x:c r="B7" s="9" t="n">
        <x:v>110000</x:v>
      </x:c>
      <x:c r="C7" s="9" t="n">
        <x:v>2324040</x:v>
      </x:c>
      <x:c r="D7" s="11" t="n">
        <x:f>IF(SUM($B$6:$B$10)=0,"n.a.",(B7)/(SUM($B$6:$B$10)))</x:f>
        <x:v>0.06827862146704687</x:v>
      </x:c>
      <x:c r="E7" s="11" t="n">
        <x:f>IF(SUM($B$7:$B$10)=0,"n.a.",(B7)/(SUM($B$7:$B$10)))</x:f>
        <x:v>0.3467122225514237</x:v>
      </x:c>
      <x:c r="F7" s="11" t="n">
        <x:f>IF(SUM($C$7:$C$10)=0,"n.a.",(C7)/(SUM($C$7:$C$10)))</x:f>
        <x:v>0.10223032015530648</x:v>
      </x:c>
      <x:c r="G7" s="2"/>
      <x:c r="H7" s="2"/>
      <x:c r="I7" s="2"/>
      <x:c r="J7" s="2"/>
      <x:c r="K7" s="2"/>
      <x:c r="L7" s="2"/>
      <x:c r="M7" s="2"/>
    </x:row>
    <x:row r="8" ht="24" customHeight="1">
      <x:c r="A8" s="2" t="str">
        <x:v>30-59</x:v>
      </x:c>
      <x:c r="B8" s="9" t="n">
        <x:v>95252</x:v>
      </x:c>
      <x:c r="C8" s="9" t="n">
        <x:v>4011155</x:v>
      </x:c>
      <x:c r="D8" s="11" t="n">
        <x:f>IF(SUM($B$6:$B$10)=0,"n.a.",(B8)/(SUM($B$6:$B$10)))</x:f>
        <x:v>0.05912432047253772</x:v>
      </x:c>
      <x:c r="E8" s="11" t="n">
        <x:f>IF(SUM($B$7:$B$10)=0,"n.a.",(B8)/(SUM($B$7:$B$10)))</x:f>
        <x:v>0.3002275692951656</x:v>
      </x:c>
      <x:c r="F8" s="11" t="n">
        <x:f>IF(SUM($C$7:$C$10)=0,"n.a.",(C8)/(SUM($C$7:$C$10)))</x:f>
        <x:v>0.17644346045789158</x:v>
      </x:c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60-119</x:v>
      </x:c>
      <x:c r="B9" s="9" t="n">
        <x:v>66255</x:v>
      </x:c>
      <x:c r="C9" s="9" t="n">
        <x:v>5542263</x:v>
      </x:c>
      <x:c r="D9" s="11" t="n">
        <x:f>IF(SUM($B$6:$B$10)=0,"n.a.",(B9)/(SUM($B$6:$B$10)))</x:f>
        <x:v>0.04112545513908355</x:v>
      </x:c>
      <x:c r="E9" s="11" t="n">
        <x:f>IF(SUM($B$7:$B$10)=0,"n.a.",(B9)/(SUM($B$7:$B$10)))</x:f>
        <x:v>0.20883107550131436</x:v>
      </x:c>
      <x:c r="F9" s="11" t="n">
        <x:f>IF(SUM($C$7:$C$10)=0,"n.a.",(C9)/(SUM($C$7:$C$10)))</x:f>
        <x:v>0.2437941347287092</x:v>
      </x:c>
      <x:c r="G9" s="2"/>
      <x:c r="H9" s="2"/>
      <x:c r="I9" s="2"/>
      <x:c r="J9" s="2"/>
      <x:c r="K9" s="2"/>
      <x:c r="L9" s="2"/>
      <x:c r="M9" s="2"/>
    </x:row>
    <x:row r="10" ht="24" customHeight="1">
      <x:c r="A10" s="2" t="str">
        <x:v>120+</x:v>
      </x:c>
      <x:c r="B10" s="9" t="n">
        <x:v>45759</x:v>
      </x:c>
      <x:c r="C10" s="9" t="n">
        <x:v>10855915</x:v>
      </x:c>
      <x:c r="D10" s="11" t="n">
        <x:f>IF(SUM($B$6:$B$10)=0,"n.a.",(B10)/(SUM($B$6:$B$10)))</x:f>
        <x:v>0.02840328581555089</x:v>
      </x:c>
      <x:c r="E10" s="11" t="n">
        <x:f>IF(SUM($B$7:$B$10)=0,"n.a.",(B10)/(SUM($B$7:$B$10)))</x:f>
        <x:v>0.14422913265209636</x:v>
      </x:c>
      <x:c r="F10" s="11" t="n">
        <x:f>IF(SUM($C$7:$C$10)=0,"n.a.",(C10)/(SUM($C$7:$C$10)))</x:f>
        <x:v>0.47753208465809277</x:v>
      </x:c>
      <x:c r="G10" s="2"/>
      <x:c r="H10" s="2"/>
      <x:c r="I10" s="2"/>
      <x:c r="J10" s="2"/>
      <x:c r="K10" s="2"/>
      <x:c r="L10" s="2"/>
      <x:c r="M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 t="str">
        <x:v>120+ minute flights account for almost half of all late-arrival minutes.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pageMargins left="0.7" right="0.7" top="0.75" bottom="0.75" header="0.3" footer="0.3"/>
  <x:drawing xmlns:r="http://schemas.openxmlformats.org/officeDocument/2006/relationships" r:id="R0297027838c34d57"/>
  <x:tableParts count="1">
    <x:tablePart xmlns:r="http://schemas.openxmlformats.org/officeDocument/2006/relationships" r:id="R1278e446e5474f44"/>
  </x:tableParts>
</x:worksheet>
</file>

<file path=xl/worksheets/sheet6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Cancellations and reported causes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Fixed Q1 2025. Cancellation reasons and delay-minute allocations are different populations.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8" t="str">
        <x:v>Cancellation reason</x:v>
      </x:c>
      <x:c r="B5" s="8" t="str">
        <x:v>Cancelled flights</x:v>
      </x:c>
      <x:c r="C5" s="8" t="str">
        <x:v>Reason share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Carrier</x:v>
      </x:c>
      <x:c r="B6" s="9" t="n">
        <x:v>4362</x:v>
      </x:c>
      <x:c r="C6" s="11" t="n">
        <x:f>IF(SUM($B$6:$B$10)=0,"n.a.",(B6)/(SUM($B$6:$B$10)))</x:f>
        <x:v>0.14236292428198433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 t="str">
        <x:v>Weather</x:v>
      </x:c>
      <x:c r="B7" s="9" t="n">
        <x:v>24855</x:v>
      </x:c>
      <x:c r="C7" s="11" t="n">
        <x:f>IF(SUM($B$6:$B$10)=0,"n.a.",(B7)/(SUM($B$6:$B$10)))</x:f>
        <x:v>0.8111945169712794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2" t="str">
        <x:v>National airspace</x:v>
      </x:c>
      <x:c r="B8" s="9" t="n">
        <x:v>1415</x:v>
      </x:c>
      <x:c r="C8" s="11" t="n">
        <x:f>IF(SUM($B$6:$B$10)=0,"n.a.",(B8)/(SUM($B$6:$B$10)))</x:f>
        <x:v>0.04618146214099217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Security</x:v>
      </x:c>
      <x:c r="B9" s="9" t="n">
        <x:v>8</x:v>
      </x:c>
      <x:c r="C9" s="11" t="n">
        <x:f>IF(SUM($B$6:$B$10)=0,"n.a.",(B9)/(SUM($B$6:$B$10)))</x:f>
        <x:v>0.0002610966057441253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2" t="str">
        <x:v>Unknown</x:v>
      </x:c>
      <x:c r="B10" s="9" t="n">
        <x:v>0</x:v>
      </x:c>
      <x:c r="C10" s="11" t="n">
        <x:f>IF(SUM($B$6:$B$10)=0,"n.a.",(B10)/(SUM($B$6:$B$10)))</x:f>
        <x:v>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38" customHeight="1">
      <x:c r="A15" s="8" t="str">
        <x:v>Reported cause</x:v>
      </x:c>
      <x:c r="B15" s="8" t="str">
        <x:v>Reported minutes</x:v>
      </x:c>
      <x:c r="C15" s="8" t="str">
        <x:v>Late rows reported</x:v>
      </x:c>
      <x:c r="D15" s="8" t="str">
        <x:v>Late arrivals</x:v>
      </x:c>
      <x:c r="E15" s="8" t="str">
        <x:v>Coverage</x:v>
      </x:c>
      <x:c r="F15" s="8" t="str">
        <x:v>Minute share</x:v>
      </x:c>
      <x:c r="G15" s="2"/>
      <x:c r="H15" s="2"/>
      <x:c r="I15" s="2"/>
      <x:c r="J15" s="2"/>
      <x:c r="K15" s="2"/>
      <x:c r="L15" s="2"/>
      <x:c r="M15" s="2"/>
    </x:row>
    <x:row r="16" ht="24" customHeight="1">
      <x:c r="A16" s="2" t="str">
        <x:v>LateAircraftDelay</x:v>
      </x:c>
      <x:c r="B16" s="9" t="n">
        <x:v>8427350</x:v>
      </x:c>
      <x:c r="C16" s="9" t="n">
        <x:v>317266</x:v>
      </x:c>
      <x:c r="D16" s="9" t="n">
        <x:v>317266</x:v>
      </x:c>
      <x:c r="E16" s="11" t="n">
        <x:f>IF(D16=0,"n.a.",(C16)/(D16))</x:f>
        <x:v>1</x:v>
      </x:c>
      <x:c r="F16" s="11" t="n">
        <x:f>IF(SUM($B$16:$B$20)=0,"n.a.",(B16)/(SUM($B$16:$B$20)))</x:f>
        <x:v>0.37070389862516223</x:v>
      </x:c>
      <x:c r="G16" s="2"/>
      <x:c r="H16" s="2"/>
      <x:c r="I16" s="2"/>
      <x:c r="J16" s="2"/>
      <x:c r="K16" s="2"/>
      <x:c r="L16" s="2"/>
      <x:c r="M16" s="2"/>
    </x:row>
    <x:row r="17" ht="24" customHeight="1">
      <x:c r="A17" s="2" t="str">
        <x:v>CarrierDelay</x:v>
      </x:c>
      <x:c r="B17" s="9" t="n">
        <x:v>7786238</x:v>
      </x:c>
      <x:c r="C17" s="9" t="n">
        <x:v>317266</x:v>
      </x:c>
      <x:c r="D17" s="9" t="n">
        <x:v>317266</x:v>
      </x:c>
      <x:c r="E17" s="11" t="n">
        <x:f>IF(D17=0,"n.a.",(C17)/(D17))</x:f>
        <x:v>1</x:v>
      </x:c>
      <x:c r="F17" s="11" t="n">
        <x:f>IF(SUM($B$16:$B$20)=0,"n.a.",(B17)/(SUM($B$16:$B$20)))</x:f>
        <x:v>0.34250254020817766</x:v>
      </x:c>
      <x:c r="G17" s="2"/>
      <x:c r="H17" s="2"/>
      <x:c r="I17" s="2"/>
      <x:c r="J17" s="2"/>
      <x:c r="K17" s="2"/>
      <x:c r="L17" s="2"/>
      <x:c r="M17" s="2"/>
    </x:row>
    <x:row r="18" ht="24" customHeight="1">
      <x:c r="A18" s="2" t="str">
        <x:v>NASDelay</x:v>
      </x:c>
      <x:c r="B18" s="9" t="n">
        <x:v>4881464</x:v>
      </x:c>
      <x:c r="C18" s="9" t="n">
        <x:v>317266</x:v>
      </x:c>
      <x:c r="D18" s="9" t="n">
        <x:v>317266</x:v>
      </x:c>
      <x:c r="E18" s="11" t="n">
        <x:f>IF(D18=0,"n.a.",(C18)/(D18))</x:f>
        <x:v>1</x:v>
      </x:c>
      <x:c r="F18" s="11" t="n">
        <x:f>IF(SUM($B$16:$B$20)=0,"n.a.",(B18)/(SUM($B$16:$B$20)))</x:f>
        <x:v>0.2147267807553239</x:v>
      </x:c>
      <x:c r="G18" s="2"/>
      <x:c r="H18" s="2"/>
      <x:c r="I18" s="2"/>
      <x:c r="J18" s="2"/>
      <x:c r="K18" s="2"/>
      <x:c r="L18" s="2"/>
      <x:c r="M18" s="2"/>
    </x:row>
    <x:row r="19" ht="24" customHeight="1">
      <x:c r="A19" s="2" t="str">
        <x:v>WeatherDelay</x:v>
      </x:c>
      <x:c r="B19" s="9" t="n">
        <x:v>1608364</x:v>
      </x:c>
      <x:c r="C19" s="9" t="n">
        <x:v>317266</x:v>
      </x:c>
      <x:c r="D19" s="9" t="n">
        <x:v>317266</x:v>
      </x:c>
      <x:c r="E19" s="11" t="n">
        <x:f>IF(D19=0,"n.a.",(C19)/(D19))</x:f>
        <x:v>1</x:v>
      </x:c>
      <x:c r="F19" s="11" t="n">
        <x:f>IF(SUM($B$16:$B$20)=0,"n.a.",(B19)/(SUM($B$16:$B$20)))</x:f>
        <x:v>0.07074902611240312</x:v>
      </x:c>
      <x:c r="G19" s="2"/>
      <x:c r="H19" s="2"/>
      <x:c r="I19" s="2"/>
      <x:c r="J19" s="2"/>
      <x:c r="K19" s="2"/>
      <x:c r="L19" s="2"/>
      <x:c r="M19" s="2"/>
    </x:row>
    <x:row r="20" ht="24" customHeight="1">
      <x:c r="A20" s="2" t="str">
        <x:v>SecurityDelay</x:v>
      </x:c>
      <x:c r="B20" s="9" t="n">
        <x:v>29957</x:v>
      </x:c>
      <x:c r="C20" s="9" t="n">
        <x:v>317266</x:v>
      </x:c>
      <x:c r="D20" s="9" t="n">
        <x:v>317266</x:v>
      </x:c>
      <x:c r="E20" s="11" t="n">
        <x:f>IF(D20=0,"n.a.",(C20)/(D20))</x:f>
        <x:v>1</x:v>
      </x:c>
      <x:c r="F20" s="11" t="n">
        <x:f>IF(SUM($B$16:$B$20)=0,"n.a.",(B20)/(SUM($B$16:$B$20)))</x:f>
        <x:v>0.0013177542989331148</x:v>
      </x:c>
      <x:c r="G20" s="2"/>
      <x:c r="H20" s="2"/>
      <x:c r="I20" s="2"/>
      <x:c r="J20" s="2"/>
      <x:c r="K20" s="2"/>
      <x:c r="L20" s="2"/>
      <x:c r="M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 t="str">
        <x:v>Coverage counts nonmissing cause values, including reported zeros.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4" customHeight="1">
      <x:c r="A25" s="2" t="str">
        <x:v>The late-arrival denominator repeats by cause. Do not sum it across categories.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4" customHeight="1">
      <x:c r="A27" s="2" t="str">
        <x:v>Missing cause values are not evidence of zero delay. Allocations do not establish causality.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</x:sheetData>
  <x:pageMargins left="0.7" right="0.7" top="0.75" bottom="0.75" header="0.3" footer="0.3"/>
  <x:drawing xmlns:r="http://schemas.openxmlformats.org/officeDocument/2006/relationships" r:id="R6f05d1319daa4e3b"/>
  <x:tableParts count="2">
    <x:tablePart xmlns:r="http://schemas.openxmlformats.org/officeDocument/2006/relationships" r:id="R6bcd55be976642af"/>
    <x:tablePart xmlns:r="http://schemas.openxmlformats.org/officeDocument/2006/relationships" r:id="R34aeb231eb274ad4"/>
  </x:tableParts>
</x:worksheet>
</file>

<file path=xl/worksheets/sheet7.xml><?xml version="1.0" encoding="utf-8"?>
<x:worksheet xmlns:x="http://schemas.openxmlformats.org/spreadsheetml/2006/main">
  <x:sheetPr>
    <x:tabColor rgb="FF1534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Airline-month source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BTS accepted flights aggregated from daily airline export. January–March 2025.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8" t="str">
        <x:v>Month</x:v>
      </x:c>
      <x:c r="B5" s="8" t="str">
        <x:v>Carrier</x:v>
      </x:c>
      <x:c r="C5" s="8" t="str">
        <x:v>Reported</x:v>
      </x:c>
      <x:c r="D5" s="8" t="str">
        <x:v>Eligible</x:v>
      </x:c>
      <x:c r="E5" s="8" t="str">
        <x:v>On time</x:v>
      </x:c>
      <x:c r="F5" s="8" t="str">
        <x:v>Late</x:v>
      </x:c>
      <x:c r="G5" s="8" t="str">
        <x:v>Cancelled</x:v>
      </x:c>
      <x:c r="H5" s="8" t="str">
        <x:v>Diverted</x:v>
      </x:c>
      <x:c r="I5" s="8" t="str">
        <x:v>Signed delay min</x:v>
      </x:c>
      <x:c r="J5" s="8" t="str">
        <x:v>Late delay min</x:v>
      </x:c>
    </x:row>
    <x:row r="6" ht="24" customHeight="1">
      <x:c r="A6" s="2" t="str">
        <x:v>2025-01</x:v>
      </x:c>
      <x:c r="B6" s="9" t="str">
        <x:v>AA</x:v>
      </x:c>
      <x:c r="C6" s="9" t="n">
        <x:v>75088</x:v>
      </x:c>
      <x:c r="D6" s="9" t="n">
        <x:v>72082</x:v>
      </x:c>
      <x:c r="E6" s="9" t="n">
        <x:v>58222</x:v>
      </x:c>
      <x:c r="F6" s="9" t="n">
        <x:v>13860</x:v>
      </x:c>
      <x:c r="G6" s="9" t="n">
        <x:v>2802</x:v>
      </x:c>
      <x:c r="H6" s="9" t="n">
        <x:v>204</x:v>
      </x:c>
      <x:c r="I6" s="9" t="n">
        <x:v>401255</x:v>
      </x:c>
      <x:c r="J6" s="9" t="n">
        <x:v>1109966</x:v>
      </x:c>
    </x:row>
    <x:row r="7" ht="24" customHeight="1">
      <x:c r="A7" s="2" t="str">
        <x:v>2025-01</x:v>
      </x:c>
      <x:c r="B7" s="9" t="str">
        <x:v>AS</x:v>
      </x:c>
      <x:c r="C7" s="9" t="n">
        <x:v>18163</x:v>
      </x:c>
      <x:c r="D7" s="9" t="n">
        <x:v>17847</x:v>
      </x:c>
      <x:c r="E7" s="9" t="n">
        <x:v>14710</x:v>
      </x:c>
      <x:c r="F7" s="9" t="n">
        <x:v>3137</x:v>
      </x:c>
      <x:c r="G7" s="9" t="n">
        <x:v>243</x:v>
      </x:c>
      <x:c r="H7" s="9" t="n">
        <x:v>73</x:v>
      </x:c>
      <x:c r="I7" s="9" t="n">
        <x:v>-2139</x:v>
      </x:c>
      <x:c r="J7" s="9" t="n">
        <x:v>158597</x:v>
      </x:c>
    </x:row>
    <x:row r="8" ht="24" customHeight="1">
      <x:c r="A8" s="2" t="str">
        <x:v>2025-01</x:v>
      </x:c>
      <x:c r="B8" s="9" t="str">
        <x:v>B6</x:v>
      </x:c>
      <x:c r="C8" s="9" t="n">
        <x:v>17918</x:v>
      </x:c>
      <x:c r="D8" s="9" t="n">
        <x:v>17558</x:v>
      </x:c>
      <x:c r="E8" s="9" t="n">
        <x:v>13264</x:v>
      </x:c>
      <x:c r="F8" s="9" t="n">
        <x:v>4294</x:v>
      </x:c>
      <x:c r="G8" s="9" t="n">
        <x:v>323</x:v>
      </x:c>
      <x:c r="H8" s="9" t="n">
        <x:v>37</x:v>
      </x:c>
      <x:c r="I8" s="9" t="n">
        <x:v>102037</x:v>
      </x:c>
      <x:c r="J8" s="9" t="n">
        <x:v>263411</x:v>
      </x:c>
    </x:row>
    <x:row r="9" ht="24" customHeight="1">
      <x:c r="A9" s="2" t="str">
        <x:v>2025-01</x:v>
      </x:c>
      <x:c r="B9" s="9" t="str">
        <x:v>DL</x:v>
      </x:c>
      <x:c r="C9" s="9" t="n">
        <x:v>76306</x:v>
      </x:c>
      <x:c r="D9" s="9" t="n">
        <x:v>74025</x:v>
      </x:c>
      <x:c r="E9" s="9" t="n">
        <x:v>59723</x:v>
      </x:c>
      <x:c r="F9" s="9" t="n">
        <x:v>14302</x:v>
      </x:c>
      <x:c r="G9" s="9" t="n">
        <x:v>2137</x:v>
      </x:c>
      <x:c r="H9" s="9" t="n">
        <x:v>144</x:v>
      </x:c>
      <x:c r="I9" s="9" t="n">
        <x:v>386568</x:v>
      </x:c>
      <x:c r="J9" s="9" t="n">
        <x:v>1132771</x:v>
      </x:c>
    </x:row>
    <x:row r="10" ht="24" customHeight="1">
      <x:c r="A10" s="2" t="str">
        <x:v>2025-01</x:v>
      </x:c>
      <x:c r="B10" s="9" t="str">
        <x:v>F9</x:v>
      </x:c>
      <x:c r="C10" s="9" t="n">
        <x:v>15526</x:v>
      </x:c>
      <x:c r="D10" s="9" t="n">
        <x:v>15110</x:v>
      </x:c>
      <x:c r="E10" s="9" t="n">
        <x:v>11185</x:v>
      </x:c>
      <x:c r="F10" s="9" t="n">
        <x:v>3925</x:v>
      </x:c>
      <x:c r="G10" s="9" t="n">
        <x:v>392</x:v>
      </x:c>
      <x:c r="H10" s="9" t="n">
        <x:v>24</x:v>
      </x:c>
      <x:c r="I10" s="9" t="n">
        <x:v>163436</x:v>
      </x:c>
      <x:c r="J10" s="9" t="n">
        <x:v>304108</x:v>
      </x:c>
    </x:row>
    <x:row r="11" ht="24" customHeight="1">
      <x:c r="A11" s="2" t="str">
        <x:v>2025-01</x:v>
      </x:c>
      <x:c r="B11" s="9" t="str">
        <x:v>G4</x:v>
      </x:c>
      <x:c r="C11" s="9" t="n">
        <x:v>9345</x:v>
      </x:c>
      <x:c r="D11" s="9" t="n">
        <x:v>9206</x:v>
      </x:c>
      <x:c r="E11" s="9" t="n">
        <x:v>7023</x:v>
      </x:c>
      <x:c r="F11" s="9" t="n">
        <x:v>2183</x:v>
      </x:c>
      <x:c r="G11" s="9" t="n">
        <x:v>119</x:v>
      </x:c>
      <x:c r="H11" s="9" t="n">
        <x:v>20</x:v>
      </x:c>
      <x:c r="I11" s="9" t="n">
        <x:v>87847</x:v>
      </x:c>
      <x:c r="J11" s="9" t="n">
        <x:v>193769</x:v>
      </x:c>
    </x:row>
    <x:row r="12" ht="24" customHeight="1">
      <x:c r="A12" s="2" t="str">
        <x:v>2025-01</x:v>
      </x:c>
      <x:c r="B12" s="9" t="str">
        <x:v>HA</x:v>
      </x:c>
      <x:c r="C12" s="9" t="n">
        <x:v>6690</x:v>
      </x:c>
      <x:c r="D12" s="9" t="n">
        <x:v>6540</x:v>
      </x:c>
      <x:c r="E12" s="9" t="n">
        <x:v>5654</x:v>
      </x:c>
      <x:c r="F12" s="9" t="n">
        <x:v>886</x:v>
      </x:c>
      <x:c r="G12" s="9" t="n">
        <x:v>128</x:v>
      </x:c>
      <x:c r="H12" s="9" t="n">
        <x:v>22</x:v>
      </x:c>
      <x:c r="I12" s="9" t="n">
        <x:v>39479</x:v>
      </x:c>
      <x:c r="J12" s="9" t="n">
        <x:v>64334</x:v>
      </x:c>
    </x:row>
    <x:row r="13" ht="24" customHeight="1">
      <x:c r="A13" s="2" t="str">
        <x:v>2025-01</x:v>
      </x:c>
      <x:c r="B13" s="9" t="str">
        <x:v>MQ</x:v>
      </x:c>
      <x:c r="C13" s="9" t="n">
        <x:v>21890</x:v>
      </x:c>
      <x:c r="D13" s="9" t="n">
        <x:v>20831</x:v>
      </x:c>
      <x:c r="E13" s="9" t="n">
        <x:v>16992</x:v>
      </x:c>
      <x:c r="F13" s="9" t="n">
        <x:v>3839</x:v>
      </x:c>
      <x:c r="G13" s="9" t="n">
        <x:v>1030</x:v>
      </x:c>
      <x:c r="H13" s="9" t="n">
        <x:v>29</x:v>
      </x:c>
      <x:c r="I13" s="9" t="n">
        <x:v>100254</x:v>
      </x:c>
      <x:c r="J13" s="9" t="n">
        <x:v>279483</x:v>
      </x:c>
    </x:row>
    <x:row r="14" ht="24" customHeight="1">
      <x:c r="A14" s="2" t="str">
        <x:v>2025-01</x:v>
      </x:c>
      <x:c r="B14" s="9" t="str">
        <x:v>NK</x:v>
      </x:c>
      <x:c r="C14" s="9" t="n">
        <x:v>17544</x:v>
      </x:c>
      <x:c r="D14" s="9" t="n">
        <x:v>16946</x:v>
      </x:c>
      <x:c r="E14" s="9" t="n">
        <x:v>13882</x:v>
      </x:c>
      <x:c r="F14" s="9" t="n">
        <x:v>3064</x:v>
      </x:c>
      <x:c r="G14" s="9" t="n">
        <x:v>572</x:v>
      </x:c>
      <x:c r="H14" s="9" t="n">
        <x:v>26</x:v>
      </x:c>
      <x:c r="I14" s="9" t="n">
        <x:v>10939</x:v>
      </x:c>
      <x:c r="J14" s="9" t="n">
        <x:v>179405</x:v>
      </x:c>
    </x:row>
    <x:row r="15" ht="24" customHeight="1">
      <x:c r="A15" s="2" t="str">
        <x:v>2025-01</x:v>
      </x:c>
      <x:c r="B15" s="9" t="str">
        <x:v>OH</x:v>
      </x:c>
      <x:c r="C15" s="9" t="n">
        <x:v>21094</x:v>
      </x:c>
      <x:c r="D15" s="9" t="n">
        <x:v>19151</x:v>
      </x:c>
      <x:c r="E15" s="9" t="n">
        <x:v>14271</x:v>
      </x:c>
      <x:c r="F15" s="9" t="n">
        <x:v>4880</x:v>
      </x:c>
      <x:c r="G15" s="9" t="n">
        <x:v>1899</x:v>
      </x:c>
      <x:c r="H15" s="9" t="n">
        <x:v>44</x:v>
      </x:c>
      <x:c r="I15" s="9" t="n">
        <x:v>270723</x:v>
      </x:c>
      <x:c r="J15" s="9" t="n">
        <x:v>429426</x:v>
      </x:c>
    </x:row>
    <x:row r="16" ht="24" customHeight="1">
      <x:c r="A16" s="2" t="str">
        <x:v>2025-01</x:v>
      </x:c>
      <x:c r="B16" s="9" t="str">
        <x:v>OO</x:v>
      </x:c>
      <x:c r="C16" s="9" t="n">
        <x:v>65036</x:v>
      </x:c>
      <x:c r="D16" s="9" t="n">
        <x:v>63502</x:v>
      </x:c>
      <x:c r="E16" s="9" t="n">
        <x:v>50241</x:v>
      </x:c>
      <x:c r="F16" s="9" t="n">
        <x:v>13261</x:v>
      </x:c>
      <x:c r="G16" s="9" t="n">
        <x:v>1343</x:v>
      </x:c>
      <x:c r="H16" s="9" t="n">
        <x:v>191</x:v>
      </x:c>
      <x:c r="I16" s="9" t="n">
        <x:v>504264</x:v>
      </x:c>
      <x:c r="J16" s="9" t="n">
        <x:v>1116055</x:v>
      </x:c>
    </x:row>
    <x:row r="17" ht="24" customHeight="1">
      <x:c r="A17" s="2" t="str">
        <x:v>2025-01</x:v>
      </x:c>
      <x:c r="B17" s="9" t="str">
        <x:v>UA</x:v>
      </x:c>
      <x:c r="C17" s="9" t="n">
        <x:v>62007</x:v>
      </x:c>
      <x:c r="D17" s="9" t="n">
        <x:v>60668</x:v>
      </x:c>
      <x:c r="E17" s="9" t="n">
        <x:v>49974</x:v>
      </x:c>
      <x:c r="F17" s="9" t="n">
        <x:v>10694</x:v>
      </x:c>
      <x:c r="G17" s="9" t="n">
        <x:v>1189</x:v>
      </x:c>
      <x:c r="H17" s="9" t="n">
        <x:v>150</x:v>
      </x:c>
      <x:c r="I17" s="9" t="n">
        <x:v>78258</x:v>
      </x:c>
      <x:c r="J17" s="9" t="n">
        <x:v>674197</x:v>
      </x:c>
    </x:row>
    <x:row r="18" ht="24" customHeight="1">
      <x:c r="A18" s="2" t="str">
        <x:v>2025-01</x:v>
      </x:c>
      <x:c r="B18" s="9" t="str">
        <x:v>WN</x:v>
      </x:c>
      <x:c r="C18" s="9" t="n">
        <x:v>105307</x:v>
      </x:c>
      <x:c r="D18" s="9" t="n">
        <x:v>102120</x:v>
      </x:c>
      <x:c r="E18" s="9" t="n">
        <x:v>86589</x:v>
      </x:c>
      <x:c r="F18" s="9" t="n">
        <x:v>15531</x:v>
      </x:c>
      <x:c r="G18" s="9" t="n">
        <x:v>3016</x:v>
      </x:c>
      <x:c r="H18" s="9" t="n">
        <x:v>171</x:v>
      </x:c>
      <x:c r="I18" s="9" t="n">
        <x:v>-119834</x:v>
      </x:c>
      <x:c r="J18" s="9" t="n">
        <x:v>806854</x:v>
      </x:c>
    </x:row>
    <x:row r="19" ht="24" customHeight="1">
      <x:c r="A19" s="2" t="str">
        <x:v>2025-01</x:v>
      </x:c>
      <x:c r="B19" s="9" t="str">
        <x:v>YX</x:v>
      </x:c>
      <x:c r="C19" s="9" t="n">
        <x:v>27833</x:v>
      </x:c>
      <x:c r="D19" s="9" t="n">
        <x:v>26683</x:v>
      </x:c>
      <x:c r="E19" s="9" t="n">
        <x:v>22409</x:v>
      </x:c>
      <x:c r="F19" s="9" t="n">
        <x:v>4274</x:v>
      </x:c>
      <x:c r="G19" s="9" t="n">
        <x:v>1119</x:v>
      </x:c>
      <x:c r="H19" s="9" t="n">
        <x:v>31</x:v>
      </x:c>
      <x:c r="I19" s="9" t="n">
        <x:v>-61124</x:v>
      </x:c>
      <x:c r="J19" s="9" t="n">
        <x:v>231618</x:v>
      </x:c>
    </x:row>
    <x:row r="20" ht="24" customHeight="1">
      <x:c r="A20" s="2" t="str">
        <x:v>2025-02</x:v>
      </x:c>
      <x:c r="B20" s="9" t="str">
        <x:v>AA</x:v>
      </x:c>
      <x:c r="C20" s="9" t="n">
        <x:v>69876</x:v>
      </x:c>
      <x:c r="D20" s="9" t="n">
        <x:v>68808</x:v>
      </x:c>
      <x:c r="E20" s="9" t="n">
        <x:v>54673</x:v>
      </x:c>
      <x:c r="F20" s="9" t="n">
        <x:v>14135</x:v>
      </x:c>
      <x:c r="G20" s="9" t="n">
        <x:v>925</x:v>
      </x:c>
      <x:c r="H20" s="9" t="n">
        <x:v>143</x:v>
      </x:c>
      <x:c r="I20" s="9" t="n">
        <x:v>483028</x:v>
      </x:c>
      <x:c r="J20" s="9" t="n">
        <x:v>1113720</x:v>
      </x:c>
    </x:row>
    <x:row r="21" ht="24" customHeight="1">
      <x:c r="A21" s="2" t="str">
        <x:v>2025-02</x:v>
      </x:c>
      <x:c r="B21" s="9" t="str">
        <x:v>AS</x:v>
      </x:c>
      <x:c r="C21" s="9" t="n">
        <x:v>16315</x:v>
      </x:c>
      <x:c r="D21" s="9" t="n">
        <x:v>15917</x:v>
      </x:c>
      <x:c r="E21" s="9" t="n">
        <x:v>12555</x:v>
      </x:c>
      <x:c r="F21" s="9" t="n">
        <x:v>3362</x:v>
      </x:c>
      <x:c r="G21" s="9" t="n">
        <x:v>352</x:v>
      </x:c>
      <x:c r="H21" s="9" t="n">
        <x:v>46</x:v>
      </x:c>
      <x:c r="I21" s="9" t="n">
        <x:v>44655</x:v>
      </x:c>
      <x:c r="J21" s="9" t="n">
        <x:v>177953</x:v>
      </x:c>
    </x:row>
    <x:row r="22" ht="24" customHeight="1">
      <x:c r="A22" s="2" t="str">
        <x:v>2025-02</x:v>
      </x:c>
      <x:c r="B22" s="9" t="str">
        <x:v>B6</x:v>
      </x:c>
      <x:c r="C22" s="9" t="n">
        <x:v>17685</x:v>
      </x:c>
      <x:c r="D22" s="9" t="n">
        <x:v>17181</x:v>
      </x:c>
      <x:c r="E22" s="9" t="n">
        <x:v>12291</x:v>
      </x:c>
      <x:c r="F22" s="9" t="n">
        <x:v>4890</x:v>
      </x:c>
      <x:c r="G22" s="9" t="n">
        <x:v>458</x:v>
      </x:c>
      <x:c r="H22" s="9" t="n">
        <x:v>46</x:v>
      </x:c>
      <x:c r="I22" s="9" t="n">
        <x:v>218448</x:v>
      </x:c>
      <x:c r="J22" s="9" t="n">
        <x:v>381936</x:v>
      </x:c>
    </x:row>
    <x:row r="23" ht="24" customHeight="1">
      <x:c r="A23" s="2" t="str">
        <x:v>2025-02</x:v>
      </x:c>
      <x:c r="B23" s="9" t="str">
        <x:v>DL</x:v>
      </x:c>
      <x:c r="C23" s="9" t="n">
        <x:v>71333</x:v>
      </x:c>
      <x:c r="D23" s="9" t="n">
        <x:v>71061</x:v>
      </x:c>
      <x:c r="E23" s="9" t="n">
        <x:v>56870</x:v>
      </x:c>
      <x:c r="F23" s="9" t="n">
        <x:v>14191</x:v>
      </x:c>
      <x:c r="G23" s="9" t="n">
        <x:v>164</x:v>
      </x:c>
      <x:c r="H23" s="9" t="n">
        <x:v>108</x:v>
      </x:c>
      <x:c r="I23" s="9" t="n">
        <x:v>276489</x:v>
      </x:c>
      <x:c r="J23" s="9" t="n">
        <x:v>993052</x:v>
      </x:c>
    </x:row>
    <x:row r="24" ht="24" customHeight="1">
      <x:c r="A24" s="2" t="str">
        <x:v>2025-02</x:v>
      </x:c>
      <x:c r="B24" s="9" t="str">
        <x:v>F9</x:v>
      </x:c>
      <x:c r="C24" s="9" t="n">
        <x:v>15440</x:v>
      </x:c>
      <x:c r="D24" s="9" t="n">
        <x:v>15213</x:v>
      </x:c>
      <x:c r="E24" s="9" t="n">
        <x:v>11382</x:v>
      </x:c>
      <x:c r="F24" s="9" t="n">
        <x:v>3831</x:v>
      </x:c>
      <x:c r="G24" s="9" t="n">
        <x:v>201</x:v>
      </x:c>
      <x:c r="H24" s="9" t="n">
        <x:v>26</x:v>
      </x:c>
      <x:c r="I24" s="9" t="n">
        <x:v>156871</x:v>
      </x:c>
      <x:c r="J24" s="9" t="n">
        <x:v>312689</x:v>
      </x:c>
    </x:row>
    <x:row r="25" ht="24" customHeight="1">
      <x:c r="A25" s="2" t="str">
        <x:v>2025-02</x:v>
      </x:c>
      <x:c r="B25" s="9" t="str">
        <x:v>G4</x:v>
      </x:c>
      <x:c r="C25" s="9" t="n">
        <x:v>9371</x:v>
      </x:c>
      <x:c r="D25" s="9" t="n">
        <x:v>9249</x:v>
      </x:c>
      <x:c r="E25" s="9" t="n">
        <x:v>6933</x:v>
      </x:c>
      <x:c r="F25" s="9" t="n">
        <x:v>2316</x:v>
      </x:c>
      <x:c r="G25" s="9" t="n">
        <x:v>88</x:v>
      </x:c>
      <x:c r="H25" s="9" t="n">
        <x:v>34</x:v>
      </x:c>
      <x:c r="I25" s="9" t="n">
        <x:v>122396</x:v>
      </x:c>
      <x:c r="J25" s="9" t="n">
        <x:v>218245</x:v>
      </x:c>
    </x:row>
    <x:row r="26" ht="24" customHeight="1">
      <x:c r="A26" s="2" t="str">
        <x:v>2025-02</x:v>
      </x:c>
      <x:c r="B26" s="9" t="str">
        <x:v>HA</x:v>
      </x:c>
      <x:c r="C26" s="9" t="n">
        <x:v>6013</x:v>
      </x:c>
      <x:c r="D26" s="9" t="n">
        <x:v>5983</x:v>
      </x:c>
      <x:c r="E26" s="9" t="n">
        <x:v>4947</x:v>
      </x:c>
      <x:c r="F26" s="9" t="n">
        <x:v>1036</x:v>
      </x:c>
      <x:c r="G26" s="9" t="n">
        <x:v>21</x:v>
      </x:c>
      <x:c r="H26" s="9" t="n">
        <x:v>9</x:v>
      </x:c>
      <x:c r="I26" s="9" t="n">
        <x:v>33666</x:v>
      </x:c>
      <x:c r="J26" s="9" t="n">
        <x:v>48427</x:v>
      </x:c>
    </x:row>
    <x:row r="27" ht="24" customHeight="1">
      <x:c r="A27" s="2" t="str">
        <x:v>2025-02</x:v>
      </x:c>
      <x:c r="B27" s="9" t="str">
        <x:v>MQ</x:v>
      </x:c>
      <x:c r="C27" s="9" t="n">
        <x:v>19995</x:v>
      </x:c>
      <x:c r="D27" s="9" t="n">
        <x:v>19609</x:v>
      </x:c>
      <x:c r="E27" s="9" t="n">
        <x:v>15859</x:v>
      </x:c>
      <x:c r="F27" s="9" t="n">
        <x:v>3750</x:v>
      </x:c>
      <x:c r="G27" s="9" t="n">
        <x:v>346</x:v>
      </x:c>
      <x:c r="H27" s="9" t="n">
        <x:v>40</x:v>
      </x:c>
      <x:c r="I27" s="9" t="n">
        <x:v>68075</x:v>
      </x:c>
      <x:c r="J27" s="9" t="n">
        <x:v>233646</x:v>
      </x:c>
    </x:row>
    <x:row r="28" ht="24" customHeight="1">
      <x:c r="A28" s="2" t="str">
        <x:v>2025-02</x:v>
      </x:c>
      <x:c r="B28" s="9" t="str">
        <x:v>NK</x:v>
      </x:c>
      <x:c r="C28" s="9" t="n">
        <x:v>16232</x:v>
      </x:c>
      <x:c r="D28" s="9" t="n">
        <x:v>16041</x:v>
      </x:c>
      <x:c r="E28" s="9" t="n">
        <x:v>13048</x:v>
      </x:c>
      <x:c r="F28" s="9" t="n">
        <x:v>2993</x:v>
      </x:c>
      <x:c r="G28" s="9" t="n">
        <x:v>179</x:v>
      </x:c>
      <x:c r="H28" s="9" t="n">
        <x:v>12</x:v>
      </x:c>
      <x:c r="I28" s="9" t="n">
        <x:v>39169</x:v>
      </x:c>
      <x:c r="J28" s="9" t="n">
        <x:v>212040</x:v>
      </x:c>
    </x:row>
    <x:row r="29" ht="24" customHeight="1">
      <x:c r="A29" s="2" t="str">
        <x:v>2025-02</x:v>
      </x:c>
      <x:c r="B29" s="9" t="str">
        <x:v>OH</x:v>
      </x:c>
      <x:c r="C29" s="9" t="n">
        <x:v>19508</x:v>
      </x:c>
      <x:c r="D29" s="9" t="n">
        <x:v>17465</x:v>
      </x:c>
      <x:c r="E29" s="9" t="n">
        <x:v>11148</x:v>
      </x:c>
      <x:c r="F29" s="9" t="n">
        <x:v>6317</x:v>
      </x:c>
      <x:c r="G29" s="9" t="n">
        <x:v>1987</x:v>
      </x:c>
      <x:c r="H29" s="9" t="n">
        <x:v>56</x:v>
      </x:c>
      <x:c r="I29" s="9" t="n">
        <x:v>474150</x:v>
      </x:c>
      <x:c r="J29" s="9" t="n">
        <x:v>583472</x:v>
      </x:c>
    </x:row>
    <x:row r="30" ht="24" customHeight="1">
      <x:c r="A30" s="2" t="str">
        <x:v>2025-02</x:v>
      </x:c>
      <x:c r="B30" s="9" t="str">
        <x:v>OO</x:v>
      </x:c>
      <x:c r="C30" s="9" t="n">
        <x:v>59806</x:v>
      </x:c>
      <x:c r="D30" s="9" t="n">
        <x:v>58562</x:v>
      </x:c>
      <x:c r="E30" s="9" t="n">
        <x:v>44702</x:v>
      </x:c>
      <x:c r="F30" s="9" t="n">
        <x:v>13860</x:v>
      </x:c>
      <x:c r="G30" s="9" t="n">
        <x:v>1055</x:v>
      </x:c>
      <x:c r="H30" s="9" t="n">
        <x:v>189</x:v>
      </x:c>
      <x:c r="I30" s="9" t="n">
        <x:v>628650</x:v>
      </x:c>
      <x:c r="J30" s="9" t="n">
        <x:v>1135390</x:v>
      </x:c>
    </x:row>
    <x:row r="31" ht="24" customHeight="1">
      <x:c r="A31" s="2" t="str">
        <x:v>2025-02</x:v>
      </x:c>
      <x:c r="B31" s="9" t="str">
        <x:v>UA</x:v>
      </x:c>
      <x:c r="C31" s="9" t="n">
        <x:v>57628</x:v>
      </x:c>
      <x:c r="D31" s="9" t="n">
        <x:v>57349</x:v>
      </x:c>
      <x:c r="E31" s="9" t="n">
        <x:v>46601</x:v>
      </x:c>
      <x:c r="F31" s="9" t="n">
        <x:v>10748</x:v>
      </x:c>
      <x:c r="G31" s="9" t="n">
        <x:v>181</x:v>
      </x:c>
      <x:c r="H31" s="9" t="n">
        <x:v>98</x:v>
      </x:c>
      <x:c r="I31" s="9" t="n">
        <x:v>152527</x:v>
      </x:c>
      <x:c r="J31" s="9" t="n">
        <x:v>722903</x:v>
      </x:c>
    </x:row>
    <x:row r="32" ht="24" customHeight="1">
      <x:c r="A32" s="2" t="str">
        <x:v>2025-02</x:v>
      </x:c>
      <x:c r="B32" s="9" t="str">
        <x:v>WN</x:v>
      </x:c>
      <x:c r="C32" s="9" t="n">
        <x:v>100199</x:v>
      </x:c>
      <x:c r="D32" s="9" t="n">
        <x:v>99506</x:v>
      </x:c>
      <x:c r="E32" s="9" t="n">
        <x:v>83106</x:v>
      </x:c>
      <x:c r="F32" s="9" t="n">
        <x:v>16400</x:v>
      </x:c>
      <x:c r="G32" s="9" t="n">
        <x:v>557</x:v>
      </x:c>
      <x:c r="H32" s="9" t="n">
        <x:v>136</x:v>
      </x:c>
      <x:c r="I32" s="9" t="n">
        <x:v>22420</x:v>
      </x:c>
      <x:c r="J32" s="9" t="n">
        <x:v>925724</x:v>
      </x:c>
    </x:row>
    <x:row r="33" ht="24" customHeight="1">
      <x:c r="A33" s="2" t="str">
        <x:v>2025-02</x:v>
      </x:c>
      <x:c r="B33" s="9" t="str">
        <x:v>YX</x:v>
      </x:c>
      <x:c r="C33" s="9" t="n">
        <x:v>25483</x:v>
      </x:c>
      <x:c r="D33" s="9" t="n">
        <x:v>24532</x:v>
      </x:c>
      <x:c r="E33" s="9" t="n">
        <x:v>19259</x:v>
      </x:c>
      <x:c r="F33" s="9" t="n">
        <x:v>5273</x:v>
      </x:c>
      <x:c r="G33" s="9" t="n">
        <x:v>891</x:v>
      </x:c>
      <x:c r="H33" s="9" t="n">
        <x:v>60</x:v>
      </x:c>
      <x:c r="I33" s="9" t="n">
        <x:v>118767</x:v>
      </x:c>
      <x:c r="J33" s="9" t="n">
        <x:v>351814</x:v>
      </x:c>
    </x:row>
    <x:row r="34" ht="24" customHeight="1">
      <x:c r="A34" s="2" t="str">
        <x:v>2025-03</x:v>
      </x:c>
      <x:c r="B34" s="9" t="str">
        <x:v>AA</x:v>
      </x:c>
      <x:c r="C34" s="9" t="n">
        <x:v>82536</x:v>
      </x:c>
      <x:c r="D34" s="9" t="n">
        <x:v>81043</x:v>
      </x:c>
      <x:c r="E34" s="9" t="n">
        <x:v>62300</x:v>
      </x:c>
      <x:c r="F34" s="9" t="n">
        <x:v>18743</x:v>
      </x:c>
      <x:c r="G34" s="9" t="n">
        <x:v>1255</x:v>
      </x:c>
      <x:c r="H34" s="9" t="n">
        <x:v>238</x:v>
      </x:c>
      <x:c r="I34" s="9" t="n">
        <x:v>869617</x:v>
      </x:c>
      <x:c r="J34" s="9" t="n">
        <x:v>1508948</x:v>
      </x:c>
    </x:row>
    <x:row r="35" ht="24" customHeight="1">
      <x:c r="A35" s="2" t="str">
        <x:v>2025-03</x:v>
      </x:c>
      <x:c r="B35" s="9" t="str">
        <x:v>AS</x:v>
      </x:c>
      <x:c r="C35" s="9" t="n">
        <x:v>18925</x:v>
      </x:c>
      <x:c r="D35" s="9" t="n">
        <x:v>18756</x:v>
      </x:c>
      <x:c r="E35" s="9" t="n">
        <x:v>15203</x:v>
      </x:c>
      <x:c r="F35" s="9" t="n">
        <x:v>3553</x:v>
      </x:c>
      <x:c r="G35" s="9" t="n">
        <x:v>123</x:v>
      </x:c>
      <x:c r="H35" s="9" t="n">
        <x:v>46</x:v>
      </x:c>
      <x:c r="I35" s="9" t="n">
        <x:v>23045</x:v>
      </x:c>
      <x:c r="J35" s="9" t="n">
        <x:v>180556</x:v>
      </x:c>
    </x:row>
    <x:row r="36" ht="24" customHeight="1">
      <x:c r="A36" s="2" t="str">
        <x:v>2025-03</x:v>
      </x:c>
      <x:c r="B36" s="9" t="str">
        <x:v>B6</x:v>
      </x:c>
      <x:c r="C36" s="9" t="n">
        <x:v>21304</x:v>
      </x:c>
      <x:c r="D36" s="9" t="n">
        <x:v>21033</x:v>
      </x:c>
      <x:c r="E36" s="9" t="n">
        <x:v>16229</x:v>
      </x:c>
      <x:c r="F36" s="9" t="n">
        <x:v>4804</x:v>
      </x:c>
      <x:c r="G36" s="9" t="n">
        <x:v>165</x:v>
      </x:c>
      <x:c r="H36" s="9" t="n">
        <x:v>106</x:v>
      </x:c>
      <x:c r="I36" s="9" t="n">
        <x:v>158440</x:v>
      </x:c>
      <x:c r="J36" s="9" t="n">
        <x:v>374879</x:v>
      </x:c>
    </x:row>
    <x:row r="37" ht="24" customHeight="1">
      <x:c r="A37" s="2" t="str">
        <x:v>2025-03</x:v>
      </x:c>
      <x:c r="B37" s="9" t="str">
        <x:v>DL</x:v>
      </x:c>
      <x:c r="C37" s="9" t="n">
        <x:v>84487</x:v>
      </x:c>
      <x:c r="D37" s="9" t="n">
        <x:v>83857</x:v>
      </x:c>
      <x:c r="E37" s="9" t="n">
        <x:v>68410</x:v>
      </x:c>
      <x:c r="F37" s="9" t="n">
        <x:v>15447</x:v>
      </x:c>
      <x:c r="G37" s="9" t="n">
        <x:v>416</x:v>
      </x:c>
      <x:c r="H37" s="9" t="n">
        <x:v>214</x:v>
      </x:c>
      <x:c r="I37" s="9" t="n">
        <x:v>330059</x:v>
      </x:c>
      <x:c r="J37" s="9" t="n">
        <x:v>1115844</x:v>
      </x:c>
    </x:row>
    <x:row r="38" ht="24" customHeight="1">
      <x:c r="A38" s="2" t="str">
        <x:v>2025-03</x:v>
      </x:c>
      <x:c r="B38" s="9" t="str">
        <x:v>F9</x:v>
      </x:c>
      <x:c r="C38" s="9" t="n">
        <x:v>18846</x:v>
      </x:c>
      <x:c r="D38" s="9" t="n">
        <x:v>18429</x:v>
      </x:c>
      <x:c r="E38" s="9" t="n">
        <x:v>13794</x:v>
      </x:c>
      <x:c r="F38" s="9" t="n">
        <x:v>4635</x:v>
      </x:c>
      <x:c r="G38" s="9" t="n">
        <x:v>371</x:v>
      </x:c>
      <x:c r="H38" s="9" t="n">
        <x:v>46</x:v>
      </x:c>
      <x:c r="I38" s="9" t="n">
        <x:v>197511</x:v>
      </x:c>
      <x:c r="J38" s="9" t="n">
        <x:v>377001</x:v>
      </x:c>
    </x:row>
    <x:row r="39" ht="24" customHeight="1">
      <x:c r="A39" s="2" t="str">
        <x:v>2025-03</x:v>
      </x:c>
      <x:c r="B39" s="9" t="str">
        <x:v>G4</x:v>
      </x:c>
      <x:c r="C39" s="9" t="n">
        <x:v>13355</x:v>
      </x:c>
      <x:c r="D39" s="9" t="n">
        <x:v>13247</x:v>
      </x:c>
      <x:c r="E39" s="9" t="n">
        <x:v>10293</x:v>
      </x:c>
      <x:c r="F39" s="9" t="n">
        <x:v>2954</x:v>
      </x:c>
      <x:c r="G39" s="9" t="n">
        <x:v>79</x:v>
      </x:c>
      <x:c r="H39" s="9" t="n">
        <x:v>29</x:v>
      </x:c>
      <x:c r="I39" s="9" t="n">
        <x:v>124537</x:v>
      </x:c>
      <x:c r="J39" s="9" t="n">
        <x:v>254878</x:v>
      </x:c>
    </x:row>
    <x:row r="40" ht="24" customHeight="1">
      <x:c r="A40" s="2" t="str">
        <x:v>2025-03</x:v>
      </x:c>
      <x:c r="B40" s="9" t="str">
        <x:v>HA</x:v>
      </x:c>
      <x:c r="C40" s="9" t="n">
        <x:v>6811</x:v>
      </x:c>
      <x:c r="D40" s="9" t="n">
        <x:v>6689</x:v>
      </x:c>
      <x:c r="E40" s="9" t="n">
        <x:v>5540</x:v>
      </x:c>
      <x:c r="F40" s="9" t="n">
        <x:v>1149</x:v>
      </x:c>
      <x:c r="G40" s="9" t="n">
        <x:v>119</x:v>
      </x:c>
      <x:c r="H40" s="9" t="n">
        <x:v>3</x:v>
      </x:c>
      <x:c r="I40" s="9" t="n">
        <x:v>40706</x:v>
      </x:c>
      <x:c r="J40" s="9" t="n">
        <x:v>56337</x:v>
      </x:c>
    </x:row>
    <x:row r="41" ht="24" customHeight="1">
      <x:c r="A41" s="2" t="str">
        <x:v>2025-03</x:v>
      </x:c>
      <x:c r="B41" s="9" t="str">
        <x:v>MQ</x:v>
      </x:c>
      <x:c r="C41" s="9" t="n">
        <x:v>24032</x:v>
      </x:c>
      <x:c r="D41" s="9" t="n">
        <x:v>23294</x:v>
      </x:c>
      <x:c r="E41" s="9" t="n">
        <x:v>18558</x:v>
      </x:c>
      <x:c r="F41" s="9" t="n">
        <x:v>4736</x:v>
      </x:c>
      <x:c r="G41" s="9" t="n">
        <x:v>662</x:v>
      </x:c>
      <x:c r="H41" s="9" t="n">
        <x:v>76</x:v>
      </x:c>
      <x:c r="I41" s="9" t="n">
        <x:v>132300</x:v>
      </x:c>
      <x:c r="J41" s="9" t="n">
        <x:v>292179</x:v>
      </x:c>
    </x:row>
    <x:row r="42" ht="24" customHeight="1">
      <x:c r="A42" s="2" t="str">
        <x:v>2025-03</x:v>
      </x:c>
      <x:c r="B42" s="9" t="str">
        <x:v>NK</x:v>
      </x:c>
      <x:c r="C42" s="9" t="n">
        <x:v>19828</x:v>
      </x:c>
      <x:c r="D42" s="9" t="n">
        <x:v>19577</x:v>
      </x:c>
      <x:c r="E42" s="9" t="n">
        <x:v>15885</x:v>
      </x:c>
      <x:c r="F42" s="9" t="n">
        <x:v>3692</x:v>
      </x:c>
      <x:c r="G42" s="9" t="n">
        <x:v>215</x:v>
      </x:c>
      <x:c r="H42" s="9" t="n">
        <x:v>36</x:v>
      </x:c>
      <x:c r="I42" s="9" t="n">
        <x:v>76248</x:v>
      </x:c>
      <x:c r="J42" s="9" t="n">
        <x:v>284916</x:v>
      </x:c>
    </x:row>
    <x:row r="43" ht="24" customHeight="1">
      <x:c r="A43" s="2" t="str">
        <x:v>2025-03</x:v>
      </x:c>
      <x:c r="B43" s="9" t="str">
        <x:v>OH</x:v>
      </x:c>
      <x:c r="C43" s="9" t="n">
        <x:v>21981</x:v>
      </x:c>
      <x:c r="D43" s="9" t="n">
        <x:v>21042</x:v>
      </x:c>
      <x:c r="E43" s="9" t="n">
        <x:v>15697</x:v>
      </x:c>
      <x:c r="F43" s="9" t="n">
        <x:v>5345</x:v>
      </x:c>
      <x:c r="G43" s="9" t="n">
        <x:v>871</x:v>
      </x:c>
      <x:c r="H43" s="9" t="n">
        <x:v>68</x:v>
      </x:c>
      <x:c r="I43" s="9" t="n">
        <x:v>306336</x:v>
      </x:c>
      <x:c r="J43" s="9" t="n">
        <x:v>460944</x:v>
      </x:c>
    </x:row>
    <x:row r="44" ht="24" customHeight="1">
      <x:c r="A44" s="2" t="str">
        <x:v>2025-03</x:v>
      </x:c>
      <x:c r="B44" s="9" t="str">
        <x:v>OO</x:v>
      </x:c>
      <x:c r="C44" s="9" t="n">
        <x:v>70517</x:v>
      </x:c>
      <x:c r="D44" s="9" t="n">
        <x:v>69177</x:v>
      </x:c>
      <x:c r="E44" s="9" t="n">
        <x:v>55444</x:v>
      </x:c>
      <x:c r="F44" s="9" t="n">
        <x:v>13733</x:v>
      </x:c>
      <x:c r="G44" s="9" t="n">
        <x:v>1075</x:v>
      </x:c>
      <x:c r="H44" s="9" t="n">
        <x:v>265</x:v>
      </x:c>
      <x:c r="I44" s="9" t="n">
        <x:v>481698</x:v>
      </x:c>
      <x:c r="J44" s="9" t="n">
        <x:v>1093516</x:v>
      </x:c>
    </x:row>
    <x:row r="45" ht="24" customHeight="1">
      <x:c r="A45" s="2" t="str">
        <x:v>2025-03</x:v>
      </x:c>
      <x:c r="B45" s="9" t="str">
        <x:v>UA</x:v>
      </x:c>
      <x:c r="C45" s="9" t="n">
        <x:v>66994</x:v>
      </x:c>
      <x:c r="D45" s="9" t="n">
        <x:v>66617</x:v>
      </x:c>
      <x:c r="E45" s="9" t="n">
        <x:v>55062</x:v>
      </x:c>
      <x:c r="F45" s="9" t="n">
        <x:v>11555</x:v>
      </x:c>
      <x:c r="G45" s="9" t="n">
        <x:v>212</x:v>
      </x:c>
      <x:c r="H45" s="9" t="n">
        <x:v>165</x:v>
      </x:c>
      <x:c r="I45" s="9" t="n">
        <x:v>121379</x:v>
      </x:c>
      <x:c r="J45" s="9" t="n">
        <x:v>797608</x:v>
      </x:c>
    </x:row>
    <x:row r="46" ht="24" customHeight="1">
      <x:c r="A46" s="2" t="str">
        <x:v>2025-03</x:v>
      </x:c>
      <x:c r="B46" s="9" t="str">
        <x:v>WN</x:v>
      </x:c>
      <x:c r="C46" s="9" t="n">
        <x:v>122432</x:v>
      </x:c>
      <x:c r="D46" s="9" t="n">
        <x:v>121118</x:v>
      </x:c>
      <x:c r="E46" s="9" t="n">
        <x:v>99834</x:v>
      </x:c>
      <x:c r="F46" s="9" t="n">
        <x:v>21284</x:v>
      </x:c>
      <x:c r="G46" s="9" t="n">
        <x:v>1022</x:v>
      </x:c>
      <x:c r="H46" s="9" t="n">
        <x:v>292</x:v>
      </x:c>
      <x:c r="I46" s="9" t="n">
        <x:v>360495</x:v>
      </x:c>
      <x:c r="J46" s="9" t="n">
        <x:v>1281406</x:v>
      </x:c>
    </x:row>
    <x:row r="47" ht="24" customHeight="1">
      <x:c r="A47" s="2" t="str">
        <x:v>2025-03</x:v>
      </x:c>
      <x:c r="B47" s="9" t="str">
        <x:v>YX</x:v>
      </x:c>
      <x:c r="C47" s="9" t="n">
        <x:v>28824</x:v>
      </x:c>
      <x:c r="D47" s="9" t="n">
        <x:v>28422</x:v>
      </x:c>
      <x:c r="E47" s="9" t="n">
        <x:v>24018</x:v>
      </x:c>
      <x:c r="F47" s="9" t="n">
        <x:v>4404</x:v>
      </x:c>
      <x:c r="G47" s="9" t="n">
        <x:v>338</x:v>
      </x:c>
      <x:c r="H47" s="9" t="n">
        <x:v>64</x:v>
      </x:c>
      <x:c r="I47" s="9" t="n">
        <x:v>6583</x:v>
      </x:c>
      <x:c r="J47" s="9" t="n">
        <x:v>299356</x:v>
      </x:c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4" customHeight="1">
      <x:c r="A49" s="2" t="str">
        <x:v>Source: BTS Reporting Carrier On-Time Performance. Source fingerprints and refresh details: Methodology.</x:v>
      </x:c>
      <x:c r="B49" s="2"/>
      <x:c r="C49" s="2"/>
      <x:c r="D49" s="2"/>
      <x:c r="E49" s="2"/>
      <x:c r="F49" s="2"/>
      <x:c r="G49" s="2"/>
      <x:c r="H49" s="2"/>
      <x:c r="I49" s="2"/>
      <x:c r="J49" s="2"/>
    </x:row>
  </x:sheetData>
  <x:pageMargins left="0.7" right="0.7" top="0.75" bottom="0.75" header="0.3" footer="0.3"/>
  <x:tableParts count="1">
    <x:tablePart xmlns:r="http://schemas.openxmlformats.org/officeDocument/2006/relationships" r:id="Rc765b7d9c37a479c"/>
  </x:tableParts>
</x:worksheet>
</file>

<file path=xl/worksheets/sheet8.xml><?xml version="1.0" encoding="utf-8"?>
<x:worksheet xmlns:x="http://schemas.openxmlformats.org/spreadsheetml/2006/main">
  <x:sheetPr>
    <x:tabColor rgb="FF153451"/>
  </x:sheetPr>
  <x:sheetViews>
    <x:sheetView showGridLines="0" workbookViewId="0"/>
  </x:sheetViews>
  <x:sheetFormatPr defaultRowHeight="15"/>
  <x:cols>
    <x:col min="1" max="1" width="32" hidden="0" customWidth="1"/>
    <x:col min="2" max="2" width="1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Methodology and refresh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Scope, sources and interpretation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8" customHeight="1">
      <x:c r="A5" s="13" t="str">
        <x:v>Coverage</x:v>
      </x:c>
      <x:c r="B5" s="14" t="str">
        <x:v>BTS Reporting Carrier On-Time Performance, January–March 2025.</x:v>
      </x:c>
      <x:c r="C5" s="2"/>
      <x:c r="D5" s="2"/>
      <x:c r="E5" s="2"/>
      <x:c r="F5" s="2"/>
      <x:c r="G5" s="2"/>
      <x:c r="H5" s="2"/>
      <x:c r="I5" s="2"/>
    </x:row>
    <x:row r="6" ht="38" customHeight="1">
      <x:c r="A6" s="13" t="str">
        <x:v>Population</x:v>
      </x:c>
      <x:c r="B6" s="14" t="str">
        <x:v>1,645,503 accepted source records. No sampling or duplicate-looking row collapse.</x:v>
      </x:c>
      <x:c r="C6" s="2"/>
      <x:c r="D6" s="2"/>
      <x:c r="E6" s="2"/>
      <x:c r="F6" s="2"/>
      <x:c r="G6" s="2"/>
      <x:c r="H6" s="2"/>
      <x:c r="I6" s="2"/>
    </x:row>
    <x:row r="7" ht="38" customHeight="1">
      <x:c r="A7" s="13" t="str">
        <x:v>Eligibility</x:v>
      </x:c>
      <x:c r="B7" s="14" t="str">
        <x:v>Cancelled=0, Diverted=0, and a nonmissing signed arrival delay.</x:v>
      </x:c>
      <x:c r="C7" s="2"/>
      <x:c r="D7" s="2"/>
      <x:c r="E7" s="2"/>
      <x:c r="F7" s="2"/>
      <x:c r="G7" s="2"/>
      <x:c r="H7" s="2"/>
      <x:c r="I7" s="2"/>
    </x:row>
    <x:row r="8" ht="38" customHeight="1">
      <x:c r="A8" s="13" t="str">
        <x:v>On time / late</x:v>
      </x:c>
      <x:c r="B8" s="14" t="str">
        <x:v>On time: arrival delay &lt;15 minutes. Late: arrival delay ≥15 minutes.</x:v>
      </x:c>
      <x:c r="C8" s="2"/>
      <x:c r="D8" s="2"/>
      <x:c r="E8" s="2"/>
      <x:c r="F8" s="2"/>
      <x:c r="G8" s="2"/>
      <x:c r="H8" s="2"/>
      <x:c r="I8" s="2"/>
    </x:row>
    <x:row r="9" ht="38" customHeight="1">
      <x:c r="A9" s="13" t="str">
        <x:v>Rates</x:v>
      </x:c>
      <x:c r="B9" s="14" t="str">
        <x:v>Ratios of matching summed counts. No averaging of row percentages.</x:v>
      </x:c>
      <x:c r="C9" s="2"/>
      <x:c r="D9" s="2"/>
      <x:c r="E9" s="2"/>
      <x:c r="F9" s="2"/>
      <x:c r="G9" s="2"/>
      <x:c r="H9" s="2"/>
      <x:c r="I9" s="2"/>
    </x:row>
    <x:row r="10" ht="38" customHeight="1">
      <x:c r="A10" s="13" t="str">
        <x:v>Cancellations</x:v>
      </x:c>
      <x:c r="B10" s="14" t="str">
        <x:v>Cancelled / all reported flights. Reason shares use cancelled flights only.</x:v>
      </x:c>
      <x:c r="C10" s="2"/>
      <x:c r="D10" s="2"/>
      <x:c r="E10" s="2"/>
      <x:c r="F10" s="2"/>
      <x:c r="G10" s="2"/>
      <x:c r="H10" s="2"/>
      <x:c r="I10" s="2"/>
    </x:row>
    <x:row r="11" ht="38" customHeight="1">
      <x:c r="A11" s="13" t="str">
        <x:v>Controls</x:v>
      </x:c>
      <x:c r="B11" s="14" t="str">
        <x:v>Executive B5 and B6 change its selected KPIs. Its trend uses carrier only and always shows all three months.</x:v>
      </x:c>
      <x:c r="C11" s="2"/>
      <x:c r="D11" s="2"/>
      <x:c r="E11" s="2"/>
      <x:c r="F11" s="2"/>
      <x:c r="G11" s="2"/>
      <x:c r="H11" s="2"/>
      <x:c r="I11" s="2"/>
    </x:row>
    <x:row r="12" ht="38" customHeight="1">
      <x:c r="A12" s="13" t="str">
        <x:v>Fixed views</x:v>
      </x:c>
      <x:c r="B12" s="14" t="str">
        <x:v>Airline, airport, route, severity and disruption views always show Q1, independent of Executive controls.</x:v>
      </x:c>
      <x:c r="C12" s="2"/>
      <x:c r="D12" s="2"/>
      <x:c r="E12" s="2"/>
      <x:c r="F12" s="2"/>
      <x:c r="G12" s="2"/>
      <x:c r="H12" s="2"/>
      <x:c r="I12" s="2"/>
    </x:row>
    <x:row r="13" ht="38" customHeight="1">
      <x:c r="A13" s="13" t="str">
        <x:v>Rankings</x:v>
      </x:c>
      <x:c r="B13" s="14" t="str">
        <x:v>Airport: top 20 destination contributions. Route: top 20 contributions among routes ≥1,000 eligible arrivals.</x:v>
      </x:c>
      <x:c r="C13" s="2"/>
      <x:c r="D13" s="2"/>
      <x:c r="E13" s="2"/>
      <x:c r="F13" s="2"/>
      <x:c r="G13" s="2"/>
      <x:c r="H13" s="2"/>
      <x:c r="I13" s="2"/>
    </x:row>
    <x:row r="14" ht="38" customHeight="1">
      <x:c r="A14" s="13" t="str">
        <x:v>Comparison</x:v>
      </x:c>
      <x:c r="B14" s="14" t="str">
        <x:v>Raw rates describe operations, not causal carrier quality. Route mix, schedules and disruption exposure differ.</x:v>
      </x:c>
      <x:c r="C14" s="2"/>
      <x:c r="D14" s="2"/>
      <x:c r="E14" s="2"/>
      <x:c r="F14" s="2"/>
      <x:c r="G14" s="2"/>
      <x:c r="H14" s="2"/>
      <x:c r="I14" s="2"/>
    </x:row>
    <x:row r="15" ht="38" customHeight="1">
      <x:c r="A15" s="13" t="str">
        <x:v>Source grain</x:v>
      </x:c>
      <x:c r="B15" s="14" t="str">
        <x:v>Monthly source aggregates the daily airline export to 42 month/carrier rows.</x:v>
      </x:c>
      <x:c r="C15" s="2"/>
      <x:c r="D15" s="2"/>
      <x:c r="E15" s="2"/>
      <x:c r="F15" s="2"/>
      <x:c r="G15" s="2"/>
      <x:c r="H15" s="2"/>
      <x:c r="I15" s="2"/>
    </x:row>
    <x:row r="16" ht="38" customHeight="1">
      <x:c r="A16" s="13" t="str">
        <x:v>Other inputs</x:v>
      </x:c>
      <x:c r="B16" s="14" t="str">
        <x:v>Session 2 SQL concentration/severity outputs and BI cancellation/cause exports.</x:v>
      </x:c>
      <x:c r="C16" s="2"/>
      <x:c r="D16" s="2"/>
      <x:c r="E16" s="2"/>
      <x:c r="F16" s="2"/>
      <x:c r="G16" s="2"/>
      <x:c r="H16" s="2"/>
      <x:c r="I16" s="2"/>
    </x:row>
    <x:row r="17" ht="38" customHeight="1">
      <x:c r="A17" s="13" t="str">
        <x:v>Refresh</x:v>
      </x:c>
      <x:c r="B17" s="14" t="str">
        <x:v>Rebuild canonical warehouse and BI/Session 2 exports, then run scripts/build_excel.mjs per EXCEL_REPORT.md.</x:v>
      </x:c>
      <x:c r="C17" s="2"/>
      <x:c r="D17" s="2"/>
      <x:c r="E17" s="2"/>
      <x:c r="F17" s="2"/>
      <x:c r="G17" s="2"/>
      <x:c r="H17" s="2"/>
      <x:c r="I17" s="2"/>
    </x:row>
    <x:row r="18" ht="38" customHeight="1">
      <x:c r="A18" s="13" t="str">
        <x:v>Validation</x:v>
      </x:c>
      <x:c r="B18" s="14" t="str">
        <x:v>Formula recalculation and input changes tested in artifact-tool. Native Excel application testing not performed.</x:v>
      </x:c>
      <x:c r="C18" s="2"/>
      <x:c r="D18" s="2"/>
      <x:c r="E18" s="2"/>
      <x:c r="F18" s="2"/>
      <x:c r="G18" s="2"/>
      <x:c r="H18" s="2"/>
      <x:c r="I18" s="2"/>
    </x:row>
    <x:row r="19" ht="38" customHeight="1">
      <x:c r="A19" s="13" t="str">
        <x:v>Publisher</x:v>
      </x:c>
      <x:c r="B19" s="14" t="str">
        <x:v>US DOT Bureau of Transportation Statistics. Accessed 22 October 2026.</x:v>
      </x:c>
      <x:c r="C19" s="2"/>
      <x:c r="D19" s="2"/>
      <x:c r="E19" s="2"/>
      <x:c r="F19" s="2"/>
      <x:c r="G19" s="2"/>
      <x:c r="H19" s="2"/>
      <x:c r="I19" s="2"/>
    </x:row>
    <x:row r="20" ht="38" customHeight="1">
      <x:c r="A20" s="13" t="str">
        <x:v>Official source</x:v>
      </x:c>
      <x:c r="B20" s="14" t="str">
        <x:v>https://www.transtats.bts.gov/Tables.asp?QO_VQ=EFD</x:v>
      </x:c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 t="str">
        <x:v>Source CSV SHA-256 fingerprints</x:v>
      </x:c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 t="str">
        <x:v>agg_daily_airline.csv</x:v>
      </x:c>
      <x:c r="B25" s="2" t="str">
        <x:v>6dca4d3a9289f560e7bc3c7fe9cffe102b5896f05366a5717c429dd1a065da65</x:v>
      </x:c>
      <x:c r="C25" s="2"/>
      <x:c r="D25" s="2"/>
      <x:c r="E25" s="2"/>
      <x:c r="F25" s="2"/>
      <x:c r="G25" s="2"/>
      <x:c r="H25" s="2"/>
      <x:c r="I25" s="2"/>
    </x:row>
    <x:row r="26" ht="24" customHeight="1">
      <x:c r="A26" s="2" t="str">
        <x:v>dim_airlines.csv</x:v>
      </x:c>
      <x:c r="B26" s="2" t="str">
        <x:v>fc058717b2bf0ce95604173328c9c04b711148a56614a110e29287f22ad21066</x:v>
      </x:c>
      <x:c r="C26" s="2"/>
      <x:c r="D26" s="2"/>
      <x:c r="E26" s="2"/>
      <x:c r="F26" s="2"/>
      <x:c r="G26" s="2"/>
      <x:c r="H26" s="2"/>
      <x:c r="I26" s="2"/>
    </x:row>
    <x:row r="27" ht="24" customHeight="1">
      <x:c r="A27" s="2" t="str">
        <x:v>16_airport_concentration.csv</x:v>
      </x:c>
      <x:c r="B27" s="2" t="str">
        <x:v>8df935c67d3a780340ff2c86b72047f022a1fabc191b14b00681a53424a296c7</x:v>
      </x:c>
      <x:c r="C27" s="2"/>
      <x:c r="D27" s="2"/>
      <x:c r="E27" s="2"/>
      <x:c r="F27" s="2"/>
      <x:c r="G27" s="2"/>
      <x:c r="H27" s="2"/>
      <x:c r="I27" s="2"/>
    </x:row>
    <x:row r="28" ht="24" customHeight="1">
      <x:c r="A28" s="2" t="str">
        <x:v>15_route_concentration.csv</x:v>
      </x:c>
      <x:c r="B28" s="2" t="str">
        <x:v>19bb1eff238d229a52b96c7f0e8017a3a0df6dea2cfc7f0cc614b98799a034fb</x:v>
      </x:c>
      <x:c r="C28" s="2"/>
      <x:c r="D28" s="2"/>
      <x:c r="E28" s="2"/>
      <x:c r="F28" s="2"/>
      <x:c r="G28" s="2"/>
      <x:c r="H28" s="2"/>
      <x:c r="I28" s="2"/>
    </x:row>
    <x:row r="29" ht="24" customHeight="1">
      <x:c r="A29" s="2" t="str">
        <x:v>13_delay_severity.csv</x:v>
      </x:c>
      <x:c r="B29" s="2" t="str">
        <x:v>24489661b7e571b6e0cc7a4765311505a89433b51058dd26e2e12bb31592cca6</x:v>
      </x:c>
      <x:c r="C29" s="2"/>
      <x:c r="D29" s="2"/>
      <x:c r="E29" s="2"/>
      <x:c r="F29" s="2"/>
      <x:c r="G29" s="2"/>
      <x:c r="H29" s="2"/>
      <x:c r="I29" s="2"/>
    </x:row>
    <x:row r="30" ht="24" customHeight="1">
      <x:c r="A30" s="2" t="str">
        <x:v>agg_delay_causes.csv</x:v>
      </x:c>
      <x:c r="B30" s="2" t="str">
        <x:v>74c210d0d18f219ed372afa057e2c308d6352edf4913e55b7b8bb351bb41e1bb</x:v>
      </x:c>
      <x:c r="C30" s="2"/>
      <x:c r="D30" s="2"/>
      <x:c r="E30" s="2"/>
      <x:c r="F30" s="2"/>
      <x:c r="G30" s="2"/>
      <x:c r="H30" s="2"/>
      <x:c r="I30" s="2"/>
    </x:row>
    <x:row r="31" ht="24" customHeight="1">
      <x:c r="A31" s="2" t="str">
        <x:v>agg_cancellations.csv</x:v>
      </x:c>
      <x:c r="B31" s="2" t="str">
        <x:v>655c831554885593bcc89c2f560a1cea6fef6614d5d1f423eab7cfb4238d753e</x:v>
      </x:c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pageMargins left="0.7" right="0.7" top="0.75" bottom="0.75" header="0.3" footer="0.3"/>
</x:worksheet>
</file>